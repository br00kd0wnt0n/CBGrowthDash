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1e1d62410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s" sheetId="1" r:id="R6f3b137c1471447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3b137c14714479" /></Relationships>
</file>

<file path=xl/worksheets/sheet1.xml><?xml version="1.0" encoding="utf-8"?>
<x:worksheet xmlns:x="http://schemas.openxmlformats.org/spreadsheetml/2006/main">
  <x:sheetData>
    <x:row r="1">
      <x:c t="inlineStr" r="A1">
        <x:is>
          <x:t>Author</x:t>
        </x:is>
      </x:c>
      <x:c t="inlineStr" r="B1">
        <x:is>
          <x:t>Nickname</x:t>
        </x:is>
      </x:c>
      <x:c t="inlineStr" r="C1">
        <x:is>
          <x:t>Profile</x:t>
        </x:is>
      </x:c>
      <x:c t="inlineStr" r="D1">
        <x:is>
          <x:t>Subscribers</x:t>
        </x:is>
      </x:c>
      <x:c t="inlineStr" r="E1">
        <x:is>
          <x:t>Author Type</x:t>
        </x:is>
      </x:c>
      <x:c t="inlineStr" r="F1">
        <x:is>
          <x:t>Source</x:t>
        </x:is>
      </x:c>
      <x:c t="inlineStr" r="G1">
        <x:is>
          <x:t>Mentions</x:t>
        </x:is>
      </x:c>
      <x:c t="inlineStr" r="H1">
        <x:is>
          <x:t>Positive</x:t>
        </x:is>
      </x:c>
      <x:c t="inlineStr" r="I1">
        <x:is>
          <x:t>Negative</x:t>
        </x:is>
      </x:c>
      <x:c t="inlineStr" r="J1">
        <x:is>
          <x:t>Engagement (In Topic)</x:t>
        </x:is>
      </x:c>
    </x:row>
    <x:row r="2">
      <x:c t="inlineStr" r="A2">
        <x:is>
          <x:t>Care Bears™</x:t>
        </x:is>
      </x:c>
      <x:c t="inlineStr" r="B2">
        <x:is>
          <x:t>carebears</x:t>
        </x:is>
      </x:c>
      <x:c r="C2">
        <x:f>HYPERLINK("https://www.instagram.com/carebears/")</x:f>
      </x:c>
      <x:c t="n" r="D2">
        <x:v>384615</x:v>
      </x:c>
      <x:c t="inlineStr" r="E2">
        <x:is>
          <x:t>Person</x:t>
        </x:is>
      </x:c>
      <x:c t="inlineStr" r="F2">
        <x:is>
          <x:t>instagram.com</x:t>
        </x:is>
      </x:c>
      <x:c t="n" r="G2">
        <x:v>319</x:v>
      </x:c>
      <x:c t="n" r="H2">
        <x:v>72</x:v>
      </x:c>
      <x:c t="n" r="I2">
        <x:v>0</x:v>
      </x:c>
      <x:c t="n" r="J2">
        <x:v>2706528</x:v>
      </x:c>
    </x:row>
    <x:row r="3">
      <x:c t="inlineStr" r="A3">
        <x:is>
          <x:t>Care Bears™</x:t>
        </x:is>
      </x:c>
      <x:c t="inlineStr" r="B3">
        <x:is>
          <x:t>carebears</x:t>
        </x:is>
      </x:c>
      <x:c r="C3">
        <x:f>HYPERLINK("http://instagram.com/carebears")</x:f>
      </x:c>
      <x:c t="n" r="D3">
        <x:v>380104</x:v>
      </x:c>
      <x:c t="inlineStr" r="E3">
        <x:is>
          <x:t>Person</x:t>
        </x:is>
      </x:c>
      <x:c t="inlineStr" r="F3">
        <x:is>
          <x:t>instagram.com</x:t>
        </x:is>
      </x:c>
      <x:c t="n" r="G3">
        <x:v>8</x:v>
      </x:c>
      <x:c t="n" r="H3">
        <x:v>0</x:v>
      </x:c>
      <x:c t="n" r="I3">
        <x:v>0</x:v>
      </x:c>
      <x:c t="n" r="J3">
        <x:v>257473</x:v>
      </x:c>
    </x:row>
    <x:row r="4">
      <x:c t="inlineStr" r="A4">
        <x:is>
          <x:t>Care Bears</x:t>
        </x:is>
      </x:c>
      <x:c t="inlineStr" r="B4">
        <x:is>
          <x:t>CareBears</x:t>
        </x:is>
      </x:c>
      <x:c r="C4">
        <x:f>HYPERLINK("https://www.facebook.com/113713174390")</x:f>
      </x:c>
      <x:c t="n" r="D4">
        <x:v>593092</x:v>
      </x:c>
      <x:c t="inlineStr" r="E4">
        <x:is>
          <x:t>Community</x:t>
        </x:is>
      </x:c>
      <x:c t="inlineStr" r="F4">
        <x:is>
          <x:t>facebook.com</x:t>
        </x:is>
      </x:c>
      <x:c t="n" r="G4">
        <x:v>325</x:v>
      </x:c>
      <x:c t="n" r="H4">
        <x:v>59</x:v>
      </x:c>
      <x:c t="n" r="I4">
        <x:v>1</x:v>
      </x:c>
      <x:c t="n" r="J4">
        <x:v>872108</x:v>
      </x:c>
    </x:row>
    <x:row r="5">
      <x:c t="inlineStr" r="A5">
        <x:is>
          <x:t>Care Bears</x:t>
        </x:is>
      </x:c>
      <x:c t="inlineStr" r="B5">
        <x:is>
          <x:t>carebears</x:t>
        </x:is>
      </x:c>
      <x:c r="C5">
        <x:f>HYPERLINK("https://www.youtube.com/channel/UChRHU6dbz5cpM2qVBK0Omng")</x:f>
      </x:c>
      <x:c t="n" r="D5">
        <x:v>381000</x:v>
      </x:c>
      <x:c t="inlineStr" r="E5">
        <x:is>
          <x:t>Person</x:t>
        </x:is>
      </x:c>
      <x:c t="inlineStr" r="F5">
        <x:is>
          <x:t>youtube.com</x:t>
        </x:is>
      </x:c>
      <x:c t="n" r="G5">
        <x:v>80</x:v>
      </x:c>
      <x:c t="n" r="H5">
        <x:v>3</x:v>
      </x:c>
      <x:c t="n" r="I5">
        <x:v>1</x:v>
      </x:c>
      <x:c t="n" r="J5">
        <x:v>32941</x:v>
      </x:c>
    </x:row>
    <x:row r="6">
      <x:c t="inlineStr" r="A6">
        <x:is>
          <x:t>Care Bears™</x:t>
        </x:is>
      </x:c>
      <x:c t="inlineStr" r="B6">
        <x:is>
          <x:t>carebearsofficial</x:t>
        </x:is>
      </x:c>
      <x:c r="C6">
        <x:f>HYPERLINK("https://www.tiktok.com/share/user/6719994603216552966")</x:f>
      </x:c>
      <x:c t="n" r="D6">
        <x:v>573700</x:v>
      </x:c>
      <x:c t="inlineStr" r="E6">
        <x:is>
          <x:t>Person</x:t>
        </x:is>
      </x:c>
      <x:c t="inlineStr" r="F6">
        <x:is>
          <x:t>tiktok.com</x:t>
        </x:is>
      </x:c>
      <x:c t="n" r="G6">
        <x:v>389</x:v>
      </x:c>
      <x:c t="n" r="H6">
        <x:v>13</x:v>
      </x:c>
      <x:c t="n" r="I6">
        <x:v>0</x:v>
      </x:c>
      <x:c t="n" r="J6">
        <x:v>5103010</x:v>
      </x:c>
    </x:row>
    <x:row r="7">
      <x:c t="inlineStr" r="A7">
        <x:is>
          <x:t>Care Bears™</x:t>
        </x:is>
      </x:c>
      <x:c t="inlineStr" r="B7">
        <x:is>
          <x:t>carebears</x:t>
        </x:is>
      </x:c>
      <x:c r="C7">
        <x:f>HYPERLINK("http://twitter.com/carebears")</x:f>
      </x:c>
      <x:c t="n" r="D7">
        <x:v>22773</x:v>
      </x:c>
      <x:c t="inlineStr" r="E7">
        <x:is>
          <x:t>Person</x:t>
        </x:is>
      </x:c>
      <x:c t="inlineStr" r="F7">
        <x:is>
          <x:t>twitter.com</x:t>
        </x:is>
      </x:c>
      <x:c t="n" r="G7">
        <x:v>12</x:v>
      </x:c>
      <x:c t="n" r="H7">
        <x:v>0</x:v>
      </x:c>
      <x:c t="n" r="I7">
        <x:v>0</x:v>
      </x:c>
      <x:c t="n" r="J7">
        <x:v>3099</x:v>
      </x:c>
    </x:row>
  </x:sheetData>
</x:worksheet>
</file>