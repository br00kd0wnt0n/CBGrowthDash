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 and Creators CPT" sheetId="1" r:id="rId4"/>
    <sheet state="visible" name="Growth Chart" sheetId="2" r:id="rId5"/>
    <sheet state="visible" name="Historical Growth" sheetId="3" r:id="rId6"/>
    <sheet state="visible" name="Views and Engagements past 8 mo" sheetId="4" r:id="rId7"/>
    <sheet state="visible" name="Projected Follower Growth" sheetId="5" r:id="rId8"/>
    <sheet state="visible" name="ChatGPT Figures" sheetId="6" r:id="rId9"/>
    <sheet state="visible" name="Competitor Benchmarks" sheetId="7" r:id="rId10"/>
    <sheet state="visible" name="Care Bears Data" sheetId="8" r:id="rId11"/>
  </sheets>
  <definedNames/>
  <calcPr/>
</workbook>
</file>

<file path=xl/sharedStrings.xml><?xml version="1.0" encoding="utf-8"?>
<sst xmlns="http://schemas.openxmlformats.org/spreadsheetml/2006/main" count="591" uniqueCount="235">
  <si>
    <t>Channel</t>
  </si>
  <si>
    <t>Est CPT</t>
  </si>
  <si>
    <t>Budget PCM</t>
  </si>
  <si>
    <t>Est Impressions</t>
  </si>
  <si>
    <t xml:space="preserve">Est Followers </t>
  </si>
  <si>
    <t>Cost Per Follow</t>
  </si>
  <si>
    <t>Creators</t>
  </si>
  <si>
    <t>Paid (boost org)</t>
  </si>
  <si>
    <t>Paid (follower)</t>
  </si>
  <si>
    <t>followers needed</t>
  </si>
  <si>
    <t>total imp to deliver followers</t>
  </si>
  <si>
    <t>impression pm</t>
  </si>
  <si>
    <t>TOTAL</t>
  </si>
  <si>
    <t>Est CPV</t>
  </si>
  <si>
    <t>Est Views</t>
  </si>
  <si>
    <t>Paid (paid boost org)</t>
  </si>
  <si>
    <t>total views to deliver followers</t>
  </si>
  <si>
    <t>views pm</t>
  </si>
  <si>
    <t>based on CPM &amp; spend split as above (45% 45% 10%)</t>
  </si>
  <si>
    <t>Creators as % of new followers</t>
  </si>
  <si>
    <t>Paid boost as % of new followers</t>
  </si>
  <si>
    <t>Paid follower growth as % of new followers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</si>
  <si>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</si>
  <si>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</si>
  <si>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</si>
  <si>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</si>
  <si>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</si>
  <si>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</si>
  <si>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</si>
  <si>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</si>
  <si>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</si>
  <si>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</si>
  <si>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</si>
  <si>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</si>
  <si>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Followers (TOTAL)</t>
  </si>
  <si>
    <t>INSTA</t>
  </si>
  <si>
    <t>TT</t>
  </si>
  <si>
    <t>FB</t>
  </si>
  <si>
    <t>% CHANGE PCM</t>
  </si>
  <si>
    <t>FOLLOWER CHANGE PM</t>
  </si>
  <si>
    <t>Follower Count</t>
  </si>
  <si>
    <t>Month 1</t>
  </si>
  <si>
    <t>Month 2</t>
  </si>
  <si>
    <t>% Current Growth</t>
  </si>
  <si>
    <t>% Goal Growth</t>
  </si>
  <si>
    <t>Goal Target</t>
  </si>
  <si>
    <t>IG</t>
  </si>
  <si>
    <t xml:space="preserve">we don't have an Oct figure for Facebook </t>
  </si>
  <si>
    <t>Total</t>
  </si>
  <si>
    <t>X</t>
  </si>
  <si>
    <t>YT</t>
  </si>
  <si>
    <t>growth on YT is slower</t>
  </si>
  <si>
    <t>Historical Growth</t>
  </si>
  <si>
    <t>% Growth in 8 months</t>
  </si>
  <si>
    <t>Compounded MoM Growth since April 1st</t>
  </si>
  <si>
    <t>Social Account Metrics</t>
  </si>
  <si>
    <t>8 months April - Nov 2025</t>
  </si>
  <si>
    <t>Views</t>
  </si>
  <si>
    <t>Engagement</t>
  </si>
  <si>
    <t>New Followers</t>
  </si>
  <si>
    <t>(views are from vids only)</t>
  </si>
  <si>
    <t>(can't get views but could scrape them manually for vis but there are lots of statics)</t>
  </si>
  <si>
    <t>Projected Growth</t>
  </si>
  <si>
    <t>Base</t>
  </si>
  <si>
    <t>TikTok</t>
  </si>
  <si>
    <t>Primary discovery engine</t>
  </si>
  <si>
    <t>Instagram</t>
  </si>
  <si>
    <t>Reels-led scaling + conversion</t>
  </si>
  <si>
    <t>Facebook</t>
  </si>
  <si>
    <t>Share/community growth with support</t>
  </si>
  <si>
    <t>YouTube</t>
  </si>
  <si>
    <t>Steady uplift, lower volatility</t>
  </si>
  <si>
    <t>Platform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</si>
  <si>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</si>
  <si>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</si>
  <si>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</si>
  <si>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</si>
  <si>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</si>
  <si>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</si>
  <si>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</si>
  <si>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</si>
  <si>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</si>
  <si>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</si>
  <si>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</si>
  <si>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TikTok (TT)</t>
  </si>
  <si>
    <t>574K</t>
  </si>
  <si>
    <t>621K</t>
  </si>
  <si>
    <t>672K</t>
  </si>
  <si>
    <t>727K</t>
  </si>
  <si>
    <t>787K</t>
  </si>
  <si>
    <t>852K</t>
  </si>
  <si>
    <t>921K</t>
  </si>
  <si>
    <t>997K</t>
  </si>
  <si>
    <t>1079K</t>
  </si>
  <si>
    <t>1167K</t>
  </si>
  <si>
    <t>1263K</t>
  </si>
  <si>
    <t>1366K</t>
  </si>
  <si>
    <t>Instagram (IG)</t>
  </si>
  <si>
    <t>385K</t>
  </si>
  <si>
    <t>408K</t>
  </si>
  <si>
    <t>432K</t>
  </si>
  <si>
    <t>458K</t>
  </si>
  <si>
    <t>485K</t>
  </si>
  <si>
    <t>513K</t>
  </si>
  <si>
    <t>544K</t>
  </si>
  <si>
    <t>576K</t>
  </si>
  <si>
    <t>610K</t>
  </si>
  <si>
    <t>646K</t>
  </si>
  <si>
    <t>684K</t>
  </si>
  <si>
    <t>724K</t>
  </si>
  <si>
    <t>Facebook (FB)</t>
  </si>
  <si>
    <t>593K</t>
  </si>
  <si>
    <t>623K</t>
  </si>
  <si>
    <t>654K</t>
  </si>
  <si>
    <t>687K</t>
  </si>
  <si>
    <t>721K</t>
  </si>
  <si>
    <t>757K</t>
  </si>
  <si>
    <t>795K</t>
  </si>
  <si>
    <t>835K</t>
  </si>
  <si>
    <t>876K</t>
  </si>
  <si>
    <t>920K</t>
  </si>
  <si>
    <t>966K</t>
  </si>
  <si>
    <t>1015K</t>
  </si>
  <si>
    <t>YouTube (YT)</t>
  </si>
  <si>
    <t>382K</t>
  </si>
  <si>
    <t>406K</t>
  </si>
  <si>
    <t>460K</t>
  </si>
  <si>
    <t>490K</t>
  </si>
  <si>
    <t>521K</t>
  </si>
  <si>
    <t>554K</t>
  </si>
  <si>
    <t>590K</t>
  </si>
  <si>
    <t>627K</t>
  </si>
  <si>
    <t>668K</t>
  </si>
  <si>
    <t>710K</t>
  </si>
  <si>
    <t>756K</t>
  </si>
  <si>
    <t>1934K</t>
  </si>
  <si>
    <t>2058K</t>
  </si>
  <si>
    <t>2190K</t>
  </si>
  <si>
    <t>2332K</t>
  </si>
  <si>
    <t>2483K</t>
  </si>
  <si>
    <t>2643K</t>
  </si>
  <si>
    <t>2814K</t>
  </si>
  <si>
    <t>2998K</t>
  </si>
  <si>
    <t>3192K</t>
  </si>
  <si>
    <t>3401K</t>
  </si>
  <si>
    <t>3623K</t>
  </si>
  <si>
    <t>3861K</t>
  </si>
  <si>
    <t>Faceboo,000 (FB)</t>
  </si>
  <si>
    <t>Follower Growth</t>
  </si>
  <si>
    <t>Reach and Engagement Q3</t>
  </si>
  <si>
    <t>Post Volume</t>
  </si>
  <si>
    <t>Total Views</t>
  </si>
  <si>
    <t>Total Engagement</t>
  </si>
  <si>
    <t>Avg. Engagement</t>
  </si>
  <si>
    <t>ER%</t>
  </si>
  <si>
    <t>Followers*
(Apr 2025)</t>
  </si>
  <si>
    <t>Followers*
(Dec 2025)</t>
  </si>
  <si>
    <t>Net Growth
(Apr - Dec 2025)</t>
  </si>
  <si>
    <t>Follower Growth*
(Apr - Dec 2025)</t>
  </si>
  <si>
    <t>Follower MoM Growth*
(Apr - Dec 2025)</t>
  </si>
  <si>
    <t>Posts</t>
  </si>
  <si>
    <t>Reels</t>
  </si>
  <si>
    <t>Barbie</t>
  </si>
  <si>
    <t>IG Posts</t>
  </si>
  <si>
    <t>-</t>
  </si>
  <si>
    <t>Strawberry Shortcake</t>
  </si>
  <si>
    <t>IG Reels</t>
  </si>
  <si>
    <t>Peanuts (Snoopy)</t>
  </si>
  <si>
    <t>FB Posts</t>
  </si>
  <si>
    <t>Peanuts</t>
  </si>
  <si>
    <t>Hello Kitty</t>
  </si>
  <si>
    <t>Squishmallows</t>
  </si>
  <si>
    <t>FB Reels</t>
  </si>
  <si>
    <t>CreativeInc</t>
  </si>
  <si>
    <t>Care Bears</t>
  </si>
  <si>
    <t>*IG, TT, FB</t>
  </si>
  <si>
    <t>YT Shorts</t>
  </si>
  <si>
    <t xml:space="preserve">Total </t>
  </si>
  <si>
    <t>Barbie Followers (4 Dec 2025)</t>
  </si>
  <si>
    <t>Comparison</t>
  </si>
  <si>
    <t>3.5M</t>
  </si>
  <si>
    <t>Videos</t>
  </si>
  <si>
    <t>Shorts</t>
  </si>
  <si>
    <t>15.8M</t>
  </si>
  <si>
    <t>2.3M</t>
  </si>
  <si>
    <t>13.1M</t>
  </si>
  <si>
    <t>(YT not included in their guidelines data)</t>
  </si>
  <si>
    <t>Threads</t>
  </si>
  <si>
    <t>(Has a barbie movie account)</t>
  </si>
  <si>
    <t>347.3K</t>
  </si>
  <si>
    <t>(Inactive since 2022)</t>
  </si>
  <si>
    <t>Strawberry Shortcake Followers (4 Dec 2025)</t>
  </si>
  <si>
    <t>875K</t>
  </si>
  <si>
    <t>3.4M</t>
  </si>
  <si>
    <t>605K</t>
  </si>
  <si>
    <t>2.23M</t>
  </si>
  <si>
    <t>65.3K</t>
  </si>
  <si>
    <t>(Inactive since 2023)</t>
  </si>
  <si>
    <t>Peanuts Followers (4 Dec 2025)</t>
  </si>
  <si>
    <t>3.9M</t>
  </si>
  <si>
    <t>14.2M</t>
  </si>
  <si>
    <t>3.3M</t>
  </si>
  <si>
    <t>716K</t>
  </si>
  <si>
    <t>1.1M</t>
  </si>
  <si>
    <t>(Inactive since 2024)</t>
  </si>
  <si>
    <t>Static</t>
  </si>
  <si>
    <t>Hello Kitty Followers (4 Dec 2025)</t>
  </si>
  <si>
    <t>6.2M</t>
  </si>
  <si>
    <t>12.3M</t>
  </si>
  <si>
    <t>5.4M</t>
  </si>
  <si>
    <t>5.2M</t>
  </si>
  <si>
    <t>706K</t>
  </si>
  <si>
    <t>378.5K Followers</t>
  </si>
  <si>
    <t>Still active</t>
  </si>
  <si>
    <t>Squishmallows Followers (4 Dec 2025)</t>
  </si>
  <si>
    <t>1M</t>
  </si>
  <si>
    <t>211.3K</t>
  </si>
  <si>
    <t>667.7K</t>
  </si>
  <si>
    <t>23.6k</t>
  </si>
  <si>
    <t>180K</t>
  </si>
  <si>
    <t>111.9K Followers</t>
  </si>
  <si>
    <t>(Not active since 2023)</t>
  </si>
  <si>
    <t>CreativeInc Followers (4 Dec 2025)</t>
  </si>
  <si>
    <t>385.4K</t>
  </si>
  <si>
    <t>593.2K</t>
  </si>
  <si>
    <t>574.2K</t>
  </si>
  <si>
    <t>382k</t>
  </si>
  <si>
    <t>46.1K</t>
  </si>
  <si>
    <t>22.7K</t>
  </si>
  <si>
    <t>Followers</t>
  </si>
  <si>
    <t>x</t>
  </si>
  <si>
    <t># of posts</t>
  </si>
  <si>
    <t>Engagement %</t>
  </si>
  <si>
    <t>YouTube (Likes)</t>
  </si>
  <si>
    <t xml:space="preserve">YouTube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</si>
</sst>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.000"/>
    <numFmt numFmtId="165" formatCode="[$$]#,##0"/>
    <numFmt numFmtId="166" formatCode="[$$]#,##0.0"/>
    <numFmt numFmtId="167" formatCode="[$$]#,##0.00"/>
    <numFmt numFmtId="168" formatCode="d mmm yyyy"/>
    <numFmt numFmtId="169" formatCode="mmm yyyy"/>
    <numFmt numFmtId="170" formatCode="mmmm yyyy"/>
    <numFmt numFmtId="171" formatCode="#.##K"/>
  </numFmts>
  <fonts count="15">
    <font>
      <sz val="10.0"/>
      <color rgb="FF000000"/>
      <name val="Arial"/>
      <scheme val="minor"/>
    </font>
    <font>
      <b/>
      <color theme="1"/>
      <name val="Proxima Nova"/>
    </font>
    <font>
      <color theme="1"/>
      <name val="Proxima Nova"/>
    </font>
    <font>
      <b/>
      <color rgb="FFFF0000"/>
      <name val="Proxima Nova"/>
    </font>
    <font>
      <color rgb="FFFF0000"/>
      <name val="Proxima Nova"/>
    </font>
    <font>
      <b/>
      <color theme="1"/>
      <name val="Arial"/>
      <scheme val="minor"/>
    </font>
    <font>
      <color theme="1"/>
      <name val="Arial"/>
      <scheme val="minor"/>
    </font>
    <font>
      <sz val="14.0"/>
      <color rgb="FF000000"/>
      <name val="&quot;Twemoji Country Flags&quot;"/>
    </font>
    <font>
      <b/>
      <color rgb="FFFF0000"/>
      <name val="Arial"/>
      <scheme val="minor"/>
    </font>
    <font>
      <b/>
      <sz val="14.0"/>
      <color theme="1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166" xfId="0" applyAlignment="1" applyFont="1" applyNumberFormat="1">
      <alignment readingOrder="0" shrinkToFit="0" wrapText="1"/>
    </xf>
    <xf borderId="0" fillId="0" fontId="2" numFmtId="165" xfId="0" applyAlignment="1" applyFont="1" applyNumberFormat="1">
      <alignment readingOrder="0" shrinkToFit="0" wrapText="1"/>
    </xf>
    <xf borderId="0" fillId="0" fontId="2" numFmtId="3" xfId="0" applyAlignment="1" applyFont="1" applyNumberFormat="1">
      <alignment shrinkToFit="0" wrapText="1"/>
    </xf>
    <xf borderId="0" fillId="0" fontId="2" numFmtId="167" xfId="0" applyAlignment="1" applyFont="1" applyNumberFormat="1">
      <alignment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0" fillId="0" fontId="3" numFmtId="3" xfId="0" applyAlignment="1" applyFont="1" applyNumberFormat="1">
      <alignment shrinkToFit="0" wrapText="1"/>
    </xf>
    <xf borderId="0" fillId="0" fontId="3" numFmtId="167" xfId="0" applyAlignment="1" applyFont="1" applyNumberFormat="1">
      <alignment shrinkToFit="0" wrapText="1"/>
    </xf>
    <xf borderId="0" fillId="0" fontId="2" numFmtId="3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165" xfId="0" applyAlignment="1" applyFont="1" applyNumberFormat="1">
      <alignment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3" xfId="0" applyAlignment="1" applyFont="1" applyNumberFormat="1">
      <alignment readingOrder="0" shrinkToFit="0" wrapText="1"/>
    </xf>
    <xf borderId="0" fillId="0" fontId="4" numFmtId="10" xfId="0" applyAlignment="1" applyFont="1" applyNumberFormat="1">
      <alignment shrinkToFit="0" wrapText="1"/>
    </xf>
    <xf borderId="0" fillId="0" fontId="2" numFmtId="10" xfId="0" applyAlignment="1" applyFont="1" applyNumberFormat="1">
      <alignment readingOrder="0" shrinkToFit="0" wrapText="1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3" xfId="0" applyAlignment="1" applyFont="1" applyNumberFormat="1">
      <alignment readingOrder="0"/>
    </xf>
    <xf borderId="0" fillId="0" fontId="6" numFmtId="3" xfId="0" applyAlignment="1" applyFont="1" applyNumberFormat="1">
      <alignment readingOrder="0"/>
    </xf>
    <xf borderId="0" fillId="0" fontId="6" numFmtId="3" xfId="0" applyFont="1" applyNumberFormat="1"/>
    <xf borderId="0" fillId="0" fontId="6" numFmtId="10" xfId="0" applyFont="1" applyNumberFormat="1"/>
    <xf borderId="0" fillId="0" fontId="6" numFmtId="0" xfId="0" applyFont="1"/>
    <xf borderId="0" fillId="0" fontId="5" numFmtId="168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0" xfId="0" applyAlignment="1" applyFont="1" applyNumberFormat="1">
      <alignment readingOrder="0"/>
    </xf>
    <xf borderId="0" fillId="0" fontId="5" numFmtId="3" xfId="0" applyFont="1" applyNumberFormat="1"/>
    <xf borderId="0" fillId="0" fontId="5" numFmtId="0" xfId="0" applyAlignment="1" applyFont="1">
      <alignment shrinkToFit="0" wrapText="1"/>
    </xf>
    <xf borderId="0" fillId="0" fontId="5" numFmtId="168" xfId="0" applyAlignment="1" applyFont="1" applyNumberForma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3" xfId="0" applyAlignment="1" applyFont="1" applyNumberFormat="1">
      <alignment shrinkToFit="0" wrapText="1"/>
    </xf>
    <xf borderId="0" fillId="0" fontId="6" numFmtId="0" xfId="0" applyAlignment="1" applyFont="1">
      <alignment shrinkToFit="0" wrapText="1"/>
    </xf>
    <xf borderId="0" fillId="2" fontId="7" numFmtId="3" xfId="0" applyAlignment="1" applyFill="1" applyFont="1" applyNumberFormat="1">
      <alignment readingOrder="0"/>
    </xf>
    <xf borderId="0" fillId="3" fontId="6" numFmtId="3" xfId="0" applyAlignment="1" applyFill="1" applyFont="1" applyNumberFormat="1">
      <alignment readingOrder="0"/>
    </xf>
    <xf borderId="0" fillId="0" fontId="8" numFmtId="10" xfId="0" applyFont="1" applyNumberFormat="1"/>
    <xf borderId="0" fillId="2" fontId="7" numFmtId="0" xfId="0" applyFont="1"/>
    <xf borderId="0" fillId="0" fontId="5" numFmtId="0" xfId="0" applyAlignment="1" applyFont="1">
      <alignment horizontal="center" readingOrder="0"/>
    </xf>
    <xf borderId="0" fillId="0" fontId="6" numFmtId="169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169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169" xfId="0" applyAlignment="1" applyFont="1" applyNumberFormat="1">
      <alignment readingOrder="0"/>
    </xf>
    <xf borderId="0" fillId="0" fontId="6" numFmtId="170" xfId="0" applyAlignment="1" applyFont="1" applyNumberForma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2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2" numFmtId="3" xfId="0" applyAlignment="1" applyFont="1" applyNumberFormat="1">
      <alignment horizontal="center" readingOrder="0" shrinkToFit="0" vertical="center" wrapText="1"/>
    </xf>
    <xf borderId="0" fillId="0" fontId="12" numFmtId="10" xfId="0" applyAlignment="1" applyFont="1" applyNumberFormat="1">
      <alignment horizontal="center" shrinkToFit="0" vertical="center" wrapText="1"/>
    </xf>
    <xf borderId="0" fillId="0" fontId="12" numFmtId="10" xfId="0" applyAlignment="1" applyFont="1" applyNumberFormat="1">
      <alignment horizontal="center" readingOrder="0" shrinkToFit="0" vertical="center" wrapText="1"/>
    </xf>
    <xf borderId="0" fillId="0" fontId="12" numFmtId="3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6" numFmtId="3" xfId="0" applyAlignment="1" applyFont="1" applyNumberFormat="1">
      <alignment horizontal="center" readingOrder="0"/>
    </xf>
    <xf borderId="0" fillId="0" fontId="6" numFmtId="171" xfId="0" applyAlignment="1" applyFont="1" applyNumberFormat="1">
      <alignment horizontal="center" readingOrder="0"/>
    </xf>
    <xf borderId="0" fillId="0" fontId="6" numFmtId="10" xfId="0" applyAlignment="1" applyFont="1" applyNumberFormat="1">
      <alignment horizontal="center" readingOrder="0"/>
    </xf>
    <xf borderId="0" fillId="0" fontId="6" numFmtId="3" xfId="0" applyAlignment="1" applyFont="1" applyNumberFormat="1">
      <alignment horizontal="center" readingOrder="0" vertical="center"/>
    </xf>
    <xf borderId="0" fillId="0" fontId="6" numFmtId="3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13" numFmtId="3" xfId="0" applyAlignment="1" applyFont="1" applyNumberFormat="1">
      <alignment horizontal="center" readingOrder="0" shrinkToFit="0" vertical="center" wrapText="1"/>
    </xf>
    <xf borderId="0" fillId="0" fontId="6" numFmtId="10" xfId="0" applyAlignment="1" applyFont="1" applyNumberFormat="1">
      <alignment horizontal="center" readingOrder="0" vertical="center"/>
    </xf>
    <xf borderId="0" fillId="0" fontId="14" numFmtId="0" xfId="0" applyAlignment="1" applyFont="1">
      <alignment readingOrder="0"/>
    </xf>
    <xf borderId="0" fillId="4" fontId="6" numFmtId="3" xfId="0" applyAlignment="1" applyFill="1" applyFont="1" applyNumberFormat="1">
      <alignment horizontal="center" readingOrder="0"/>
    </xf>
    <xf borderId="0" fillId="2" fontId="6" numFmtId="3" xfId="0" applyAlignment="1" applyFont="1" applyNumberFormat="1">
      <alignment readingOrder="0"/>
    </xf>
    <xf borderId="0" fillId="5" fontId="6" numFmtId="0" xfId="0" applyAlignment="1" applyFill="1" applyFont="1">
      <alignment readingOrder="0"/>
    </xf>
    <xf borderId="0" fillId="5" fontId="6" numFmtId="0" xfId="0" applyFont="1"/>
    <xf borderId="0" fillId="5" fontId="6" numFmtId="10" xfId="0" applyFont="1" applyNumberFormat="1"/>
    <xf borderId="0" fillId="5" fontId="6" numFmtId="3" xfId="0" applyFont="1" applyNumberFormat="1"/>
    <xf borderId="0" fillId="4" fontId="6" numFmtId="10" xfId="0" applyFont="1" applyNumberForma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'Projected Follower Growth'!$A$9</c:f>
            </c:strRef>
          </c:tx>
          <c:spPr>
            <a:ln cmpd="sng" w="28575">
              <a:solidFill>
                <a:srgbClr val="EC008B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'Projected Follower Growth'!$B$8:$M$8</c:f>
            </c:strRef>
          </c:cat>
          <c:val>
            <c:numRef>
              <c:f>'Projected Follower Growth'!$B$9:$M$9</c:f>
              <c:numCache/>
            </c:numRef>
          </c:val>
          <c:smooth val="0"/>
        </c:ser>
        <c:ser>
          <c:idx val="1"/>
          <c:order val="1"/>
          <c:tx>
            <c:strRef>
              <c:f>'Projected Follower Growth'!$A$10</c:f>
            </c:strRef>
          </c:tx>
          <c:spPr>
            <a:ln cmpd="sng" w="28575">
              <a:solidFill>
                <a:srgbClr val="FEEA57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'Projected Follower Growth'!$B$8:$M$8</c:f>
            </c:strRef>
          </c:cat>
          <c:val>
            <c:numRef>
              <c:f>'Projected Follower Growth'!$B$10:$M$10</c:f>
              <c:numCache/>
            </c:numRef>
          </c:val>
          <c:smooth val="0"/>
        </c:ser>
        <c:ser>
          <c:idx val="2"/>
          <c:order val="2"/>
          <c:tx>
            <c:strRef>
              <c:f>'Projected Follower Growth'!$A$11</c:f>
            </c:strRef>
          </c:tx>
          <c:spPr>
            <a:ln cmpd="sng" w="28575">
              <a:solidFill>
                <a:srgbClr val="38B8FF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'Projected Follower Growth'!$B$8:$M$8</c:f>
            </c:strRef>
          </c:cat>
          <c:val>
            <c:numRef>
              <c:f>'Projected Follower Growth'!$B$11:$M$11</c:f>
              <c:numCache/>
            </c:numRef>
          </c:val>
          <c:smooth val="0"/>
        </c:ser>
        <c:ser>
          <c:idx val="3"/>
          <c:order val="3"/>
          <c:tx>
            <c:strRef>
              <c:f>'Projected Follower Growth'!$A$12</c:f>
            </c:strRef>
          </c:tx>
          <c:spPr>
            <a:ln cmpd="sng" w="28575">
              <a:solidFill>
                <a:srgbClr val="43B658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'Projected Follower Growth'!$B$8:$M$8</c:f>
            </c:strRef>
          </c:cat>
          <c:val>
            <c:numRef>
              <c:f>'Projected Follower Growth'!$B$12:$M$12</c:f>
              <c:numCache/>
            </c:numRef>
          </c:val>
          <c:smooth val="0"/>
        </c:ser>
        <c:axId val="2038947885"/>
        <c:axId val="1414490006"/>
      </c:lineChart>
      <c:catAx>
        <c:axId val="2038947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4490006"/>
      </c:catAx>
      <c:valAx>
        <c:axId val="1414490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947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vs Platform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'ChatGPT Figures'!$A$16</c:f>
            </c:strRef>
          </c:tx>
          <c:spPr>
            <a:ln cmpd="sng" w="38100">
              <a:solidFill>
                <a:srgbClr val="FEEA57">
                  <a:alpha val="100000"/>
                </a:srgbClr>
              </a:solidFill>
              <a:prstDash val="dash"/>
            </a:ln>
          </c:spPr>
          <c:marker>
            <c:symbol val="none"/>
          </c:marker>
          <c:cat>
            <c:strRef>
              <c:f>'ChatGPT Figures'!$B$15:$M$15</c:f>
            </c:strRef>
          </c:cat>
          <c:val>
            <c:numRef>
              <c:f>'ChatGPT Figures'!$B$16:$M$16</c:f>
              <c:numCache/>
            </c:numRef>
          </c:val>
          <c:smooth val="0"/>
        </c:ser>
        <c:axId val="1111988849"/>
        <c:axId val="542623716"/>
      </c:lineChart>
      <c:catAx>
        <c:axId val="11119888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623716"/>
      </c:catAx>
      <c:valAx>
        <c:axId val="542623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9888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14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17</xdr:row>
      <xdr:rowOff>180975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38"/>
    <col customWidth="1" min="4" max="4" width="17.25"/>
    <col customWidth="1" min="6" max="6" width="25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1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6</v>
      </c>
      <c r="B2" s="6">
        <v>25.0</v>
      </c>
      <c r="C2" s="7">
        <v>45000.0</v>
      </c>
      <c r="D2" s="8">
        <f t="shared" ref="D2:D4" si="1">(C2/B2)*1000</f>
        <v>1800000</v>
      </c>
      <c r="E2" s="8">
        <f>D2*0.002</f>
        <v>3600</v>
      </c>
      <c r="F2" s="9">
        <f t="shared" ref="F2:F5" si="2">C2/E2</f>
        <v>12.5</v>
      </c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1" t="s">
        <v>7</v>
      </c>
      <c r="B3" s="6">
        <v>2.5</v>
      </c>
      <c r="C3" s="7">
        <v>45000.0</v>
      </c>
      <c r="D3" s="8">
        <f t="shared" si="1"/>
        <v>18000000</v>
      </c>
      <c r="E3" s="8">
        <f>D3*0.001</f>
        <v>18000</v>
      </c>
      <c r="F3" s="9">
        <f t="shared" si="2"/>
        <v>2.5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" t="s">
        <v>8</v>
      </c>
      <c r="B4" s="6">
        <v>5.0</v>
      </c>
      <c r="C4" s="7">
        <v>10000.0</v>
      </c>
      <c r="D4" s="8">
        <f t="shared" si="1"/>
        <v>2000000</v>
      </c>
      <c r="E4" s="8">
        <f>D4*0.005</f>
        <v>10000</v>
      </c>
      <c r="F4" s="9">
        <f t="shared" si="2"/>
        <v>1</v>
      </c>
      <c r="G4" s="10"/>
      <c r="H4" s="11" t="s">
        <v>9</v>
      </c>
      <c r="I4" s="11"/>
      <c r="J4" s="11" t="s">
        <v>10</v>
      </c>
      <c r="K4" s="11" t="s">
        <v>11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2" t="s">
        <v>12</v>
      </c>
      <c r="B5" s="13">
        <f>SUM(B2:B3)/3</f>
        <v>9.166666667</v>
      </c>
      <c r="C5" s="14">
        <f t="shared" ref="C5:E5" si="3">SUM(C2:C4)</f>
        <v>100000</v>
      </c>
      <c r="D5" s="15">
        <f t="shared" si="3"/>
        <v>21800000</v>
      </c>
      <c r="E5" s="15">
        <f t="shared" si="3"/>
        <v>31600</v>
      </c>
      <c r="F5" s="16">
        <f t="shared" si="2"/>
        <v>3.164556962</v>
      </c>
      <c r="G5" s="10"/>
      <c r="H5" s="17">
        <v>1500000.0</v>
      </c>
      <c r="I5" s="8">
        <f>H5/E5</f>
        <v>47.46835443</v>
      </c>
      <c r="J5" s="8">
        <f>D5*I5</f>
        <v>1034810127</v>
      </c>
      <c r="K5" s="8">
        <f>J5/12</f>
        <v>86234177.22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/>
      <c r="B6" s="18"/>
      <c r="C6" s="19"/>
      <c r="D6" s="10"/>
      <c r="E6" s="8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" t="s">
        <v>0</v>
      </c>
      <c r="B7" s="2" t="s">
        <v>13</v>
      </c>
      <c r="C7" s="3" t="s">
        <v>2</v>
      </c>
      <c r="D7" s="1" t="s">
        <v>14</v>
      </c>
      <c r="E7" s="4" t="s">
        <v>4</v>
      </c>
      <c r="F7" s="1" t="s">
        <v>5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" t="s">
        <v>6</v>
      </c>
      <c r="B8" s="20">
        <v>0.03</v>
      </c>
      <c r="C8" s="7">
        <v>45000.0</v>
      </c>
      <c r="D8" s="8">
        <f t="shared" ref="D8:D10" si="4">C8/B8</f>
        <v>1500000</v>
      </c>
      <c r="E8" s="8">
        <f>D8*0.001</f>
        <v>1500</v>
      </c>
      <c r="F8" s="9">
        <f t="shared" ref="F8:F11" si="5">C8/E8</f>
        <v>30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" t="s">
        <v>15</v>
      </c>
      <c r="B9" s="20">
        <v>0.005</v>
      </c>
      <c r="C9" s="7">
        <v>45000.0</v>
      </c>
      <c r="D9" s="8">
        <f t="shared" si="4"/>
        <v>9000000</v>
      </c>
      <c r="E9" s="8">
        <f>D9*0.000987</f>
        <v>8883</v>
      </c>
      <c r="F9" s="9">
        <f t="shared" si="5"/>
        <v>5.06585613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" t="s">
        <v>8</v>
      </c>
      <c r="B10" s="20">
        <v>0.01</v>
      </c>
      <c r="C10" s="7">
        <v>10000.0</v>
      </c>
      <c r="D10" s="8">
        <f t="shared" si="4"/>
        <v>1000000</v>
      </c>
      <c r="E10" s="8">
        <f>D10*0.01</f>
        <v>10000</v>
      </c>
      <c r="F10" s="9">
        <f t="shared" si="5"/>
        <v>1</v>
      </c>
      <c r="G10" s="10"/>
      <c r="H10" s="11" t="s">
        <v>9</v>
      </c>
      <c r="I10" s="10"/>
      <c r="J10" s="11" t="s">
        <v>16</v>
      </c>
      <c r="K10" s="11" t="s">
        <v>17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2" t="s">
        <v>12</v>
      </c>
      <c r="B11" s="13">
        <f>SUM(B8:B10)/3</f>
        <v>0.015</v>
      </c>
      <c r="C11" s="14">
        <f t="shared" ref="C11:E11" si="6">sum(C8:C10)</f>
        <v>100000</v>
      </c>
      <c r="D11" s="15">
        <f t="shared" si="6"/>
        <v>11500000</v>
      </c>
      <c r="E11" s="15">
        <f t="shared" si="6"/>
        <v>20383</v>
      </c>
      <c r="F11" s="16">
        <f t="shared" si="5"/>
        <v>4.906049159</v>
      </c>
      <c r="G11" s="21"/>
      <c r="H11" s="22">
        <v>1500000.0</v>
      </c>
      <c r="I11" s="15">
        <f>H11/E11</f>
        <v>73.59073738</v>
      </c>
      <c r="J11" s="15">
        <f>D11*I11</f>
        <v>846293479.9</v>
      </c>
      <c r="K11" s="15">
        <f>J11/12</f>
        <v>70524456.66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5"/>
      <c r="B12" s="18"/>
      <c r="C12" s="19"/>
      <c r="D12" s="10"/>
      <c r="E12" s="8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"/>
      <c r="B13" s="11" t="s">
        <v>18</v>
      </c>
      <c r="C13" s="19"/>
      <c r="D13" s="10"/>
      <c r="E13" s="8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" t="s">
        <v>19</v>
      </c>
      <c r="B14" s="23">
        <f>E2/E5</f>
        <v>0.1139240506</v>
      </c>
      <c r="C14" s="19"/>
      <c r="D14" s="10"/>
      <c r="E14" s="24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" t="s">
        <v>20</v>
      </c>
      <c r="B15" s="23">
        <f>E3/E5</f>
        <v>0.5696202532</v>
      </c>
      <c r="C15" s="19"/>
      <c r="D15" s="10"/>
      <c r="E15" s="8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" t="s">
        <v>21</v>
      </c>
      <c r="B16" s="23">
        <f>E4/E5</f>
        <v>0.3164556962</v>
      </c>
      <c r="C16" s="19"/>
      <c r="D16" s="10"/>
      <c r="E16" s="8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/>
      <c r="B17" s="18"/>
      <c r="C17" s="19"/>
      <c r="D17" s="10"/>
      <c r="E17" s="8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5"/>
      <c r="B18" s="18"/>
      <c r="C18" s="19"/>
      <c r="D18" s="10"/>
      <c r="E18" s="8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5"/>
      <c r="B19" s="18"/>
      <c r="C19" s="19"/>
      <c r="D19" s="10"/>
      <c r="E19" s="8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"/>
      <c r="B20" s="18"/>
      <c r="C20" s="19"/>
      <c r="D20" s="10"/>
      <c r="E20" s="8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"/>
      <c r="B21" s="18"/>
      <c r="C21" s="19"/>
      <c r="D21" s="10"/>
      <c r="E21" s="8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5"/>
      <c r="B22" s="18"/>
      <c r="C22" s="19"/>
      <c r="D22" s="10"/>
      <c r="E22" s="8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5"/>
      <c r="B23" s="18"/>
      <c r="C23" s="19"/>
      <c r="D23" s="10"/>
      <c r="E23" s="8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5"/>
      <c r="B24" s="18"/>
      <c r="C24" s="19"/>
      <c r="D24" s="10"/>
      <c r="E24" s="8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5"/>
      <c r="B25" s="18"/>
      <c r="C25" s="19"/>
      <c r="D25" s="10"/>
      <c r="E25" s="8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5"/>
      <c r="B26" s="18"/>
      <c r="C26" s="19"/>
      <c r="D26" s="10"/>
      <c r="E26" s="8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5"/>
      <c r="B27" s="18"/>
      <c r="C27" s="19"/>
      <c r="D27" s="10"/>
      <c r="E27" s="8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5"/>
      <c r="B28" s="18"/>
      <c r="C28" s="19"/>
      <c r="D28" s="10"/>
      <c r="E28" s="8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5"/>
      <c r="B29" s="18"/>
      <c r="C29" s="19"/>
      <c r="D29" s="10"/>
      <c r="E29" s="8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5"/>
      <c r="B30" s="18"/>
      <c r="C30" s="19"/>
      <c r="D30" s="10"/>
      <c r="E30" s="8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5"/>
      <c r="B31" s="18"/>
      <c r="C31" s="19"/>
      <c r="D31" s="10"/>
      <c r="E31" s="8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5"/>
      <c r="B32" s="18"/>
      <c r="C32" s="19"/>
      <c r="D32" s="10"/>
      <c r="E32" s="8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5"/>
      <c r="B33" s="18"/>
      <c r="C33" s="19"/>
      <c r="D33" s="10"/>
      <c r="E33" s="8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5"/>
      <c r="B34" s="18"/>
      <c r="C34" s="19"/>
      <c r="D34" s="10"/>
      <c r="E34" s="8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5"/>
      <c r="B35" s="18"/>
      <c r="C35" s="19"/>
      <c r="D35" s="10"/>
      <c r="E35" s="8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5"/>
      <c r="B36" s="18"/>
      <c r="C36" s="19"/>
      <c r="D36" s="10"/>
      <c r="E36" s="8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5"/>
      <c r="B37" s="18"/>
      <c r="C37" s="19"/>
      <c r="D37" s="10"/>
      <c r="E37" s="8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5"/>
      <c r="B38" s="18"/>
      <c r="C38" s="19"/>
      <c r="D38" s="10"/>
      <c r="E38" s="8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5"/>
      <c r="B39" s="18"/>
      <c r="C39" s="19"/>
      <c r="D39" s="10"/>
      <c r="E39" s="8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5"/>
      <c r="B40" s="18"/>
      <c r="C40" s="19"/>
      <c r="D40" s="10"/>
      <c r="E40" s="8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5"/>
      <c r="B41" s="18"/>
      <c r="C41" s="19"/>
      <c r="D41" s="10"/>
      <c r="E41" s="8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5"/>
      <c r="B42" s="18"/>
      <c r="C42" s="19"/>
      <c r="D42" s="10"/>
      <c r="E42" s="8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5"/>
      <c r="B43" s="18"/>
      <c r="C43" s="19"/>
      <c r="D43" s="10"/>
      <c r="E43" s="8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5"/>
      <c r="B44" s="18"/>
      <c r="C44" s="19"/>
      <c r="D44" s="10"/>
      <c r="E44" s="8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5"/>
      <c r="B45" s="18"/>
      <c r="C45" s="19"/>
      <c r="D45" s="10"/>
      <c r="E45" s="8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5"/>
      <c r="B46" s="18"/>
      <c r="C46" s="19"/>
      <c r="D46" s="10"/>
      <c r="E46" s="8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5"/>
      <c r="B47" s="18"/>
      <c r="C47" s="19"/>
      <c r="D47" s="10"/>
      <c r="E47" s="8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5"/>
      <c r="B48" s="18"/>
      <c r="C48" s="19"/>
      <c r="D48" s="10"/>
      <c r="E48" s="8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"/>
      <c r="B49" s="18"/>
      <c r="C49" s="19"/>
      <c r="D49" s="10"/>
      <c r="E49" s="8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5"/>
      <c r="B50" s="18"/>
      <c r="C50" s="19"/>
      <c r="D50" s="10"/>
      <c r="E50" s="8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5"/>
      <c r="B51" s="18"/>
      <c r="C51" s="19"/>
      <c r="D51" s="10"/>
      <c r="E51" s="8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5"/>
      <c r="B52" s="18"/>
      <c r="C52" s="19"/>
      <c r="D52" s="10"/>
      <c r="E52" s="8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5"/>
      <c r="B53" s="18"/>
      <c r="C53" s="19"/>
      <c r="D53" s="10"/>
      <c r="E53" s="8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5"/>
      <c r="B54" s="18"/>
      <c r="C54" s="19"/>
      <c r="D54" s="10"/>
      <c r="E54" s="8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5"/>
      <c r="B55" s="18"/>
      <c r="C55" s="19"/>
      <c r="D55" s="10"/>
      <c r="E55" s="8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5"/>
      <c r="B56" s="18"/>
      <c r="C56" s="19"/>
      <c r="D56" s="10"/>
      <c r="E56" s="8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5"/>
      <c r="B57" s="18"/>
      <c r="C57" s="19"/>
      <c r="D57" s="10"/>
      <c r="E57" s="8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5"/>
      <c r="B58" s="18"/>
      <c r="C58" s="19"/>
      <c r="D58" s="10"/>
      <c r="E58" s="8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5"/>
      <c r="B59" s="18"/>
      <c r="C59" s="19"/>
      <c r="D59" s="10"/>
      <c r="E59" s="8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5"/>
      <c r="B60" s="18"/>
      <c r="C60" s="19"/>
      <c r="D60" s="10"/>
      <c r="E60" s="8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5"/>
      <c r="B61" s="18"/>
      <c r="C61" s="19"/>
      <c r="D61" s="10"/>
      <c r="E61" s="8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5"/>
      <c r="B62" s="18"/>
      <c r="C62" s="19"/>
      <c r="D62" s="10"/>
      <c r="E62" s="8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5"/>
      <c r="B63" s="18"/>
      <c r="C63" s="19"/>
      <c r="D63" s="10"/>
      <c r="E63" s="8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5"/>
      <c r="B64" s="18"/>
      <c r="C64" s="19"/>
      <c r="D64" s="10"/>
      <c r="E64" s="8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5"/>
      <c r="B65" s="18"/>
      <c r="C65" s="19"/>
      <c r="D65" s="10"/>
      <c r="E65" s="8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5"/>
      <c r="B66" s="18"/>
      <c r="C66" s="19"/>
      <c r="D66" s="10"/>
      <c r="E66" s="8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5"/>
      <c r="B67" s="18"/>
      <c r="C67" s="19"/>
      <c r="D67" s="10"/>
      <c r="E67" s="8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5"/>
      <c r="B68" s="18"/>
      <c r="C68" s="19"/>
      <c r="D68" s="10"/>
      <c r="E68" s="8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5"/>
      <c r="B69" s="18"/>
      <c r="C69" s="19"/>
      <c r="D69" s="10"/>
      <c r="E69" s="8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5"/>
      <c r="B70" s="18"/>
      <c r="C70" s="19"/>
      <c r="D70" s="10"/>
      <c r="E70" s="8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5"/>
      <c r="B71" s="18"/>
      <c r="C71" s="19"/>
      <c r="D71" s="10"/>
      <c r="E71" s="8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5"/>
      <c r="B72" s="18"/>
      <c r="C72" s="19"/>
      <c r="D72" s="10"/>
      <c r="E72" s="8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5"/>
      <c r="B73" s="18"/>
      <c r="C73" s="19"/>
      <c r="D73" s="10"/>
      <c r="E73" s="8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5"/>
      <c r="B74" s="18"/>
      <c r="C74" s="19"/>
      <c r="D74" s="10"/>
      <c r="E74" s="8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5"/>
      <c r="B75" s="18"/>
      <c r="C75" s="19"/>
      <c r="D75" s="10"/>
      <c r="E75" s="8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5"/>
      <c r="B76" s="18"/>
      <c r="C76" s="19"/>
      <c r="D76" s="10"/>
      <c r="E76" s="8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5"/>
      <c r="B77" s="18"/>
      <c r="C77" s="19"/>
      <c r="D77" s="10"/>
      <c r="E77" s="8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5"/>
      <c r="B78" s="18"/>
      <c r="C78" s="19"/>
      <c r="D78" s="10"/>
      <c r="E78" s="8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5"/>
      <c r="B79" s="18"/>
      <c r="C79" s="19"/>
      <c r="D79" s="10"/>
      <c r="E79" s="8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5"/>
      <c r="B80" s="18"/>
      <c r="C80" s="19"/>
      <c r="D80" s="10"/>
      <c r="E80" s="8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5"/>
      <c r="B81" s="18"/>
      <c r="C81" s="19"/>
      <c r="D81" s="10"/>
      <c r="E81" s="8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5"/>
      <c r="B82" s="18"/>
      <c r="C82" s="19"/>
      <c r="D82" s="10"/>
      <c r="E82" s="8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5"/>
      <c r="B83" s="18"/>
      <c r="C83" s="19"/>
      <c r="D83" s="10"/>
      <c r="E83" s="8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5"/>
      <c r="B84" s="18"/>
      <c r="C84" s="19"/>
      <c r="D84" s="10"/>
      <c r="E84" s="8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5"/>
      <c r="B85" s="18"/>
      <c r="C85" s="19"/>
      <c r="D85" s="10"/>
      <c r="E85" s="8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5"/>
      <c r="B86" s="18"/>
      <c r="C86" s="19"/>
      <c r="D86" s="10"/>
      <c r="E86" s="8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5"/>
      <c r="B87" s="18"/>
      <c r="C87" s="19"/>
      <c r="D87" s="10"/>
      <c r="E87" s="8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5"/>
      <c r="B88" s="18"/>
      <c r="C88" s="19"/>
      <c r="D88" s="10"/>
      <c r="E88" s="8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5"/>
      <c r="B89" s="18"/>
      <c r="C89" s="19"/>
      <c r="D89" s="10"/>
      <c r="E89" s="8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5"/>
      <c r="B90" s="18"/>
      <c r="C90" s="19"/>
      <c r="D90" s="10"/>
      <c r="E90" s="8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5"/>
      <c r="B91" s="18"/>
      <c r="C91" s="19"/>
      <c r="D91" s="10"/>
      <c r="E91" s="8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5"/>
      <c r="B92" s="18"/>
      <c r="C92" s="19"/>
      <c r="D92" s="10"/>
      <c r="E92" s="8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5"/>
      <c r="B93" s="18"/>
      <c r="C93" s="19"/>
      <c r="D93" s="10"/>
      <c r="E93" s="8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5"/>
      <c r="B94" s="18"/>
      <c r="C94" s="19"/>
      <c r="D94" s="10"/>
      <c r="E94" s="8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5"/>
      <c r="B95" s="18"/>
      <c r="C95" s="19"/>
      <c r="D95" s="10"/>
      <c r="E95" s="8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5"/>
      <c r="B96" s="18"/>
      <c r="C96" s="19"/>
      <c r="D96" s="10"/>
      <c r="E96" s="8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5"/>
      <c r="B97" s="18"/>
      <c r="C97" s="19"/>
      <c r="D97" s="10"/>
      <c r="E97" s="8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5"/>
      <c r="B98" s="18"/>
      <c r="C98" s="19"/>
      <c r="D98" s="10"/>
      <c r="E98" s="8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5"/>
      <c r="B99" s="18"/>
      <c r="C99" s="19"/>
      <c r="D99" s="10"/>
      <c r="E99" s="8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5"/>
      <c r="B100" s="18"/>
      <c r="C100" s="19"/>
      <c r="D100" s="10"/>
      <c r="E100" s="8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5"/>
      <c r="B101" s="18"/>
      <c r="C101" s="19"/>
      <c r="D101" s="10"/>
      <c r="E101" s="8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5"/>
      <c r="B102" s="18"/>
      <c r="C102" s="19"/>
      <c r="D102" s="10"/>
      <c r="E102" s="8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5"/>
      <c r="B103" s="18"/>
      <c r="C103" s="19"/>
      <c r="D103" s="10"/>
      <c r="E103" s="8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5"/>
      <c r="B104" s="18"/>
      <c r="C104" s="19"/>
      <c r="D104" s="10"/>
      <c r="E104" s="8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5"/>
      <c r="B105" s="18"/>
      <c r="C105" s="19"/>
      <c r="D105" s="10"/>
      <c r="E105" s="8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5"/>
      <c r="B106" s="18"/>
      <c r="C106" s="19"/>
      <c r="D106" s="10"/>
      <c r="E106" s="8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5"/>
      <c r="B107" s="18"/>
      <c r="C107" s="19"/>
      <c r="D107" s="10"/>
      <c r="E107" s="8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5"/>
      <c r="B108" s="18"/>
      <c r="C108" s="19"/>
      <c r="D108" s="10"/>
      <c r="E108" s="8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5"/>
      <c r="B109" s="18"/>
      <c r="C109" s="19"/>
      <c r="D109" s="10"/>
      <c r="E109" s="8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5"/>
      <c r="B110" s="18"/>
      <c r="C110" s="19"/>
      <c r="D110" s="10"/>
      <c r="E110" s="8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5"/>
      <c r="B111" s="18"/>
      <c r="C111" s="19"/>
      <c r="D111" s="10"/>
      <c r="E111" s="8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5"/>
      <c r="B112" s="18"/>
      <c r="C112" s="19"/>
      <c r="D112" s="10"/>
      <c r="E112" s="8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5"/>
      <c r="B113" s="18"/>
      <c r="C113" s="19"/>
      <c r="D113" s="10"/>
      <c r="E113" s="8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5"/>
      <c r="B114" s="18"/>
      <c r="C114" s="19"/>
      <c r="D114" s="10"/>
      <c r="E114" s="8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5"/>
      <c r="B115" s="18"/>
      <c r="C115" s="19"/>
      <c r="D115" s="10"/>
      <c r="E115" s="8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5"/>
      <c r="B116" s="18"/>
      <c r="C116" s="19"/>
      <c r="D116" s="10"/>
      <c r="E116" s="8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5"/>
      <c r="B117" s="18"/>
      <c r="C117" s="19"/>
      <c r="D117" s="10"/>
      <c r="E117" s="8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5"/>
      <c r="B118" s="18"/>
      <c r="C118" s="19"/>
      <c r="D118" s="10"/>
      <c r="E118" s="8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5"/>
      <c r="B119" s="18"/>
      <c r="C119" s="19"/>
      <c r="D119" s="10"/>
      <c r="E119" s="8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5"/>
      <c r="B120" s="18"/>
      <c r="C120" s="19"/>
      <c r="D120" s="10"/>
      <c r="E120" s="8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5"/>
      <c r="B121" s="18"/>
      <c r="C121" s="19"/>
      <c r="D121" s="10"/>
      <c r="E121" s="8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5"/>
      <c r="B122" s="18"/>
      <c r="C122" s="19"/>
      <c r="D122" s="10"/>
      <c r="E122" s="8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5"/>
      <c r="B123" s="18"/>
      <c r="C123" s="19"/>
      <c r="D123" s="10"/>
      <c r="E123" s="8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5"/>
      <c r="B124" s="18"/>
      <c r="C124" s="19"/>
      <c r="D124" s="10"/>
      <c r="E124" s="8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5"/>
      <c r="B125" s="18"/>
      <c r="C125" s="19"/>
      <c r="D125" s="10"/>
      <c r="E125" s="8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5"/>
      <c r="B126" s="18"/>
      <c r="C126" s="19"/>
      <c r="D126" s="10"/>
      <c r="E126" s="8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5"/>
      <c r="B127" s="18"/>
      <c r="C127" s="19"/>
      <c r="D127" s="10"/>
      <c r="E127" s="8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5"/>
      <c r="B128" s="18"/>
      <c r="C128" s="19"/>
      <c r="D128" s="10"/>
      <c r="E128" s="8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5"/>
      <c r="B129" s="18"/>
      <c r="C129" s="19"/>
      <c r="D129" s="10"/>
      <c r="E129" s="8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5"/>
      <c r="B130" s="18"/>
      <c r="C130" s="19"/>
      <c r="D130" s="10"/>
      <c r="E130" s="8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5"/>
      <c r="B131" s="18"/>
      <c r="C131" s="19"/>
      <c r="D131" s="10"/>
      <c r="E131" s="8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5"/>
      <c r="B132" s="18"/>
      <c r="C132" s="19"/>
      <c r="D132" s="10"/>
      <c r="E132" s="8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5"/>
      <c r="B133" s="18"/>
      <c r="C133" s="19"/>
      <c r="D133" s="10"/>
      <c r="E133" s="8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5"/>
      <c r="B134" s="18"/>
      <c r="C134" s="19"/>
      <c r="D134" s="10"/>
      <c r="E134" s="8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5"/>
      <c r="B135" s="18"/>
      <c r="C135" s="19"/>
      <c r="D135" s="10"/>
      <c r="E135" s="8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5"/>
      <c r="B136" s="18"/>
      <c r="C136" s="19"/>
      <c r="D136" s="10"/>
      <c r="E136" s="8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5"/>
      <c r="B137" s="18"/>
      <c r="C137" s="19"/>
      <c r="D137" s="10"/>
      <c r="E137" s="8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5"/>
      <c r="B138" s="18"/>
      <c r="C138" s="19"/>
      <c r="D138" s="10"/>
      <c r="E138" s="8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5"/>
      <c r="B139" s="18"/>
      <c r="C139" s="19"/>
      <c r="D139" s="10"/>
      <c r="E139" s="8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5"/>
      <c r="B140" s="18"/>
      <c r="C140" s="19"/>
      <c r="D140" s="10"/>
      <c r="E140" s="8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5"/>
      <c r="B141" s="18"/>
      <c r="C141" s="19"/>
      <c r="D141" s="10"/>
      <c r="E141" s="8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5"/>
      <c r="B142" s="18"/>
      <c r="C142" s="19"/>
      <c r="D142" s="10"/>
      <c r="E142" s="8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5"/>
      <c r="B143" s="18"/>
      <c r="C143" s="19"/>
      <c r="D143" s="10"/>
      <c r="E143" s="8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5"/>
      <c r="B144" s="18"/>
      <c r="C144" s="19"/>
      <c r="D144" s="10"/>
      <c r="E144" s="8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5"/>
      <c r="B145" s="18"/>
      <c r="C145" s="19"/>
      <c r="D145" s="10"/>
      <c r="E145" s="8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5"/>
      <c r="B146" s="18"/>
      <c r="C146" s="19"/>
      <c r="D146" s="10"/>
      <c r="E146" s="8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5"/>
      <c r="B147" s="18"/>
      <c r="C147" s="19"/>
      <c r="D147" s="10"/>
      <c r="E147" s="8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5"/>
      <c r="B148" s="18"/>
      <c r="C148" s="19"/>
      <c r="D148" s="10"/>
      <c r="E148" s="8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5"/>
      <c r="B149" s="18"/>
      <c r="C149" s="19"/>
      <c r="D149" s="10"/>
      <c r="E149" s="8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5"/>
      <c r="B150" s="18"/>
      <c r="C150" s="19"/>
      <c r="D150" s="10"/>
      <c r="E150" s="8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5"/>
      <c r="B151" s="18"/>
      <c r="C151" s="19"/>
      <c r="D151" s="10"/>
      <c r="E151" s="8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5"/>
      <c r="B152" s="18"/>
      <c r="C152" s="19"/>
      <c r="D152" s="10"/>
      <c r="E152" s="8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5"/>
      <c r="B153" s="18"/>
      <c r="C153" s="19"/>
      <c r="D153" s="10"/>
      <c r="E153" s="8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5"/>
      <c r="B154" s="18"/>
      <c r="C154" s="19"/>
      <c r="D154" s="10"/>
      <c r="E154" s="8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5"/>
      <c r="B155" s="18"/>
      <c r="C155" s="19"/>
      <c r="D155" s="10"/>
      <c r="E155" s="8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5"/>
      <c r="B156" s="18"/>
      <c r="C156" s="19"/>
      <c r="D156" s="10"/>
      <c r="E156" s="8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5"/>
      <c r="B157" s="18"/>
      <c r="C157" s="19"/>
      <c r="D157" s="10"/>
      <c r="E157" s="8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5"/>
      <c r="B158" s="18"/>
      <c r="C158" s="19"/>
      <c r="D158" s="10"/>
      <c r="E158" s="8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5"/>
      <c r="B159" s="18"/>
      <c r="C159" s="19"/>
      <c r="D159" s="10"/>
      <c r="E159" s="8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5"/>
      <c r="B160" s="18"/>
      <c r="C160" s="19"/>
      <c r="D160" s="10"/>
      <c r="E160" s="8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5"/>
      <c r="B161" s="18"/>
      <c r="C161" s="19"/>
      <c r="D161" s="10"/>
      <c r="E161" s="8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5"/>
      <c r="B162" s="18"/>
      <c r="C162" s="19"/>
      <c r="D162" s="10"/>
      <c r="E162" s="8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5"/>
      <c r="B163" s="18"/>
      <c r="C163" s="19"/>
      <c r="D163" s="10"/>
      <c r="E163" s="8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5"/>
      <c r="B164" s="18"/>
      <c r="C164" s="19"/>
      <c r="D164" s="10"/>
      <c r="E164" s="8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5"/>
      <c r="B165" s="18"/>
      <c r="C165" s="19"/>
      <c r="D165" s="10"/>
      <c r="E165" s="8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5"/>
      <c r="B166" s="18"/>
      <c r="C166" s="19"/>
      <c r="D166" s="10"/>
      <c r="E166" s="8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5"/>
      <c r="B167" s="18"/>
      <c r="C167" s="19"/>
      <c r="D167" s="10"/>
      <c r="E167" s="8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5"/>
      <c r="B168" s="18"/>
      <c r="C168" s="19"/>
      <c r="D168" s="10"/>
      <c r="E168" s="8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5"/>
      <c r="B169" s="18"/>
      <c r="C169" s="19"/>
      <c r="D169" s="10"/>
      <c r="E169" s="8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5"/>
      <c r="B170" s="18"/>
      <c r="C170" s="19"/>
      <c r="D170" s="10"/>
      <c r="E170" s="8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5"/>
      <c r="B171" s="18"/>
      <c r="C171" s="19"/>
      <c r="D171" s="10"/>
      <c r="E171" s="8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5"/>
      <c r="B172" s="18"/>
      <c r="C172" s="19"/>
      <c r="D172" s="10"/>
      <c r="E172" s="8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5"/>
      <c r="B173" s="18"/>
      <c r="C173" s="19"/>
      <c r="D173" s="10"/>
      <c r="E173" s="8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5"/>
      <c r="B174" s="18"/>
      <c r="C174" s="19"/>
      <c r="D174" s="10"/>
      <c r="E174" s="8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5"/>
      <c r="B175" s="18"/>
      <c r="C175" s="19"/>
      <c r="D175" s="10"/>
      <c r="E175" s="8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5"/>
      <c r="B176" s="18"/>
      <c r="C176" s="19"/>
      <c r="D176" s="10"/>
      <c r="E176" s="8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5"/>
      <c r="B177" s="18"/>
      <c r="C177" s="19"/>
      <c r="D177" s="10"/>
      <c r="E177" s="8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5"/>
      <c r="B178" s="18"/>
      <c r="C178" s="19"/>
      <c r="D178" s="10"/>
      <c r="E178" s="8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5"/>
      <c r="B179" s="18"/>
      <c r="C179" s="19"/>
      <c r="D179" s="10"/>
      <c r="E179" s="8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5"/>
      <c r="B180" s="18"/>
      <c r="C180" s="19"/>
      <c r="D180" s="10"/>
      <c r="E180" s="8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5"/>
      <c r="B181" s="18"/>
      <c r="C181" s="19"/>
      <c r="D181" s="10"/>
      <c r="E181" s="8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5"/>
      <c r="B182" s="18"/>
      <c r="C182" s="19"/>
      <c r="D182" s="10"/>
      <c r="E182" s="8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5"/>
      <c r="B183" s="18"/>
      <c r="C183" s="19"/>
      <c r="D183" s="10"/>
      <c r="E183" s="8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5"/>
      <c r="B184" s="18"/>
      <c r="C184" s="19"/>
      <c r="D184" s="10"/>
      <c r="E184" s="8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5"/>
      <c r="B185" s="18"/>
      <c r="C185" s="19"/>
      <c r="D185" s="10"/>
      <c r="E185" s="8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5"/>
      <c r="B186" s="18"/>
      <c r="C186" s="19"/>
      <c r="D186" s="10"/>
      <c r="E186" s="8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5"/>
      <c r="B187" s="18"/>
      <c r="C187" s="19"/>
      <c r="D187" s="10"/>
      <c r="E187" s="8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5"/>
      <c r="B188" s="18"/>
      <c r="C188" s="19"/>
      <c r="D188" s="10"/>
      <c r="E188" s="8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5"/>
      <c r="B189" s="18"/>
      <c r="C189" s="19"/>
      <c r="D189" s="10"/>
      <c r="E189" s="8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5"/>
      <c r="B190" s="18"/>
      <c r="C190" s="19"/>
      <c r="D190" s="10"/>
      <c r="E190" s="8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5"/>
      <c r="B191" s="18"/>
      <c r="C191" s="19"/>
      <c r="D191" s="10"/>
      <c r="E191" s="8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5"/>
      <c r="B192" s="18"/>
      <c r="C192" s="19"/>
      <c r="D192" s="10"/>
      <c r="E192" s="8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5"/>
      <c r="B193" s="18"/>
      <c r="C193" s="19"/>
      <c r="D193" s="10"/>
      <c r="E193" s="8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5"/>
      <c r="B194" s="18"/>
      <c r="C194" s="19"/>
      <c r="D194" s="10"/>
      <c r="E194" s="8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5"/>
      <c r="B195" s="18"/>
      <c r="C195" s="19"/>
      <c r="D195" s="10"/>
      <c r="E195" s="8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5"/>
      <c r="B196" s="18"/>
      <c r="C196" s="19"/>
      <c r="D196" s="10"/>
      <c r="E196" s="8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5"/>
      <c r="B197" s="18"/>
      <c r="C197" s="19"/>
      <c r="D197" s="10"/>
      <c r="E197" s="8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5"/>
      <c r="B198" s="18"/>
      <c r="C198" s="19"/>
      <c r="D198" s="10"/>
      <c r="E198" s="8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5"/>
      <c r="B199" s="18"/>
      <c r="C199" s="19"/>
      <c r="D199" s="10"/>
      <c r="E199" s="8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5"/>
      <c r="B200" s="18"/>
      <c r="C200" s="19"/>
      <c r="D200" s="10"/>
      <c r="E200" s="8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5"/>
      <c r="B201" s="18"/>
      <c r="C201" s="19"/>
      <c r="D201" s="10"/>
      <c r="E201" s="8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5"/>
      <c r="B202" s="18"/>
      <c r="C202" s="19"/>
      <c r="D202" s="10"/>
      <c r="E202" s="8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5"/>
      <c r="B203" s="18"/>
      <c r="C203" s="19"/>
      <c r="D203" s="10"/>
      <c r="E203" s="8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5"/>
      <c r="B204" s="18"/>
      <c r="C204" s="19"/>
      <c r="D204" s="10"/>
      <c r="E204" s="8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5"/>
      <c r="B205" s="18"/>
      <c r="C205" s="19"/>
      <c r="D205" s="10"/>
      <c r="E205" s="8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5"/>
      <c r="B206" s="18"/>
      <c r="C206" s="19"/>
      <c r="D206" s="10"/>
      <c r="E206" s="8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5"/>
      <c r="B207" s="18"/>
      <c r="C207" s="19"/>
      <c r="D207" s="10"/>
      <c r="E207" s="8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5"/>
      <c r="B208" s="18"/>
      <c r="C208" s="19"/>
      <c r="D208" s="10"/>
      <c r="E208" s="8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5"/>
      <c r="B209" s="18"/>
      <c r="C209" s="19"/>
      <c r="D209" s="10"/>
      <c r="E209" s="8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5"/>
      <c r="B210" s="18"/>
      <c r="C210" s="19"/>
      <c r="D210" s="10"/>
      <c r="E210" s="8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5"/>
      <c r="B211" s="18"/>
      <c r="C211" s="19"/>
      <c r="D211" s="10"/>
      <c r="E211" s="8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5"/>
      <c r="B212" s="18"/>
      <c r="C212" s="19"/>
      <c r="D212" s="10"/>
      <c r="E212" s="8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5"/>
      <c r="B213" s="18"/>
      <c r="C213" s="19"/>
      <c r="D213" s="10"/>
      <c r="E213" s="8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5"/>
      <c r="B214" s="18"/>
      <c r="C214" s="19"/>
      <c r="D214" s="10"/>
      <c r="E214" s="8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5"/>
      <c r="B215" s="18"/>
      <c r="C215" s="19"/>
      <c r="D215" s="10"/>
      <c r="E215" s="8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5"/>
      <c r="B216" s="18"/>
      <c r="C216" s="19"/>
      <c r="D216" s="10"/>
      <c r="E216" s="8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5"/>
      <c r="B217" s="18"/>
      <c r="C217" s="19"/>
      <c r="D217" s="10"/>
      <c r="E217" s="8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5"/>
      <c r="B218" s="18"/>
      <c r="C218" s="19"/>
      <c r="D218" s="10"/>
      <c r="E218" s="8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5"/>
      <c r="B219" s="18"/>
      <c r="C219" s="19"/>
      <c r="D219" s="10"/>
      <c r="E219" s="8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5"/>
      <c r="B220" s="18"/>
      <c r="C220" s="19"/>
      <c r="D220" s="10"/>
      <c r="E220" s="8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5"/>
      <c r="B221" s="18"/>
      <c r="C221" s="19"/>
      <c r="D221" s="10"/>
      <c r="E221" s="8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5"/>
      <c r="B222" s="18"/>
      <c r="C222" s="19"/>
      <c r="D222" s="10"/>
      <c r="E222" s="8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5"/>
      <c r="B223" s="18"/>
      <c r="C223" s="19"/>
      <c r="D223" s="10"/>
      <c r="E223" s="8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5"/>
      <c r="B224" s="18"/>
      <c r="C224" s="19"/>
      <c r="D224" s="10"/>
      <c r="E224" s="8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5"/>
      <c r="B225" s="18"/>
      <c r="C225" s="19"/>
      <c r="D225" s="10"/>
      <c r="E225" s="8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5"/>
      <c r="B226" s="18"/>
      <c r="C226" s="19"/>
      <c r="D226" s="10"/>
      <c r="E226" s="8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5"/>
      <c r="B227" s="18"/>
      <c r="C227" s="19"/>
      <c r="D227" s="10"/>
      <c r="E227" s="8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5"/>
      <c r="B228" s="18"/>
      <c r="C228" s="19"/>
      <c r="D228" s="10"/>
      <c r="E228" s="8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5"/>
      <c r="B229" s="18"/>
      <c r="C229" s="19"/>
      <c r="D229" s="10"/>
      <c r="E229" s="8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5"/>
      <c r="B230" s="18"/>
      <c r="C230" s="19"/>
      <c r="D230" s="10"/>
      <c r="E230" s="8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5"/>
      <c r="B231" s="18"/>
      <c r="C231" s="19"/>
      <c r="D231" s="10"/>
      <c r="E231" s="8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5"/>
      <c r="B232" s="18"/>
      <c r="C232" s="19"/>
      <c r="D232" s="10"/>
      <c r="E232" s="8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5"/>
      <c r="B233" s="18"/>
      <c r="C233" s="19"/>
      <c r="D233" s="10"/>
      <c r="E233" s="8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5"/>
      <c r="B234" s="18"/>
      <c r="C234" s="19"/>
      <c r="D234" s="10"/>
      <c r="E234" s="8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5"/>
      <c r="B235" s="18"/>
      <c r="C235" s="19"/>
      <c r="D235" s="10"/>
      <c r="E235" s="8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5"/>
      <c r="B236" s="18"/>
      <c r="C236" s="19"/>
      <c r="D236" s="10"/>
      <c r="E236" s="8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5"/>
      <c r="B237" s="18"/>
      <c r="C237" s="19"/>
      <c r="D237" s="10"/>
      <c r="E237" s="8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5"/>
      <c r="B238" s="18"/>
      <c r="C238" s="19"/>
      <c r="D238" s="10"/>
      <c r="E238" s="8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5"/>
      <c r="B239" s="18"/>
      <c r="C239" s="19"/>
      <c r="D239" s="10"/>
      <c r="E239" s="8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5"/>
      <c r="B240" s="18"/>
      <c r="C240" s="19"/>
      <c r="D240" s="10"/>
      <c r="E240" s="8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5"/>
      <c r="B241" s="18"/>
      <c r="C241" s="19"/>
      <c r="D241" s="10"/>
      <c r="E241" s="8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5"/>
      <c r="B242" s="18"/>
      <c r="C242" s="19"/>
      <c r="D242" s="10"/>
      <c r="E242" s="8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5"/>
      <c r="B243" s="18"/>
      <c r="C243" s="19"/>
      <c r="D243" s="10"/>
      <c r="E243" s="8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5"/>
      <c r="B244" s="18"/>
      <c r="C244" s="19"/>
      <c r="D244" s="10"/>
      <c r="E244" s="8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5"/>
      <c r="B245" s="18"/>
      <c r="C245" s="19"/>
      <c r="D245" s="10"/>
      <c r="E245" s="8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5"/>
      <c r="B246" s="18"/>
      <c r="C246" s="19"/>
      <c r="D246" s="10"/>
      <c r="E246" s="8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5"/>
      <c r="B247" s="18"/>
      <c r="C247" s="19"/>
      <c r="D247" s="10"/>
      <c r="E247" s="8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5"/>
      <c r="B248" s="18"/>
      <c r="C248" s="19"/>
      <c r="D248" s="10"/>
      <c r="E248" s="8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5"/>
      <c r="B249" s="18"/>
      <c r="C249" s="19"/>
      <c r="D249" s="10"/>
      <c r="E249" s="8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5"/>
      <c r="B250" s="18"/>
      <c r="C250" s="19"/>
      <c r="D250" s="10"/>
      <c r="E250" s="8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5"/>
      <c r="B251" s="18"/>
      <c r="C251" s="19"/>
      <c r="D251" s="10"/>
      <c r="E251" s="8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5"/>
      <c r="B252" s="18"/>
      <c r="C252" s="19"/>
      <c r="D252" s="10"/>
      <c r="E252" s="8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5"/>
      <c r="B253" s="18"/>
      <c r="C253" s="19"/>
      <c r="D253" s="10"/>
      <c r="E253" s="8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5"/>
      <c r="B254" s="18"/>
      <c r="C254" s="19"/>
      <c r="D254" s="10"/>
      <c r="E254" s="8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5"/>
      <c r="B255" s="18"/>
      <c r="C255" s="19"/>
      <c r="D255" s="10"/>
      <c r="E255" s="8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5"/>
      <c r="B256" s="18"/>
      <c r="C256" s="19"/>
      <c r="D256" s="10"/>
      <c r="E256" s="8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5"/>
      <c r="B257" s="18"/>
      <c r="C257" s="19"/>
      <c r="D257" s="10"/>
      <c r="E257" s="8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5"/>
      <c r="B258" s="18"/>
      <c r="C258" s="19"/>
      <c r="D258" s="10"/>
      <c r="E258" s="8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5"/>
      <c r="B259" s="18"/>
      <c r="C259" s="19"/>
      <c r="D259" s="10"/>
      <c r="E259" s="8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5"/>
      <c r="B260" s="18"/>
      <c r="C260" s="19"/>
      <c r="D260" s="10"/>
      <c r="E260" s="8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5"/>
      <c r="B261" s="18"/>
      <c r="C261" s="19"/>
      <c r="D261" s="10"/>
      <c r="E261" s="8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5"/>
      <c r="B262" s="18"/>
      <c r="C262" s="19"/>
      <c r="D262" s="10"/>
      <c r="E262" s="8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5"/>
      <c r="B263" s="18"/>
      <c r="C263" s="19"/>
      <c r="D263" s="10"/>
      <c r="E263" s="8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5"/>
      <c r="B264" s="18"/>
      <c r="C264" s="19"/>
      <c r="D264" s="10"/>
      <c r="E264" s="8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5"/>
      <c r="B265" s="18"/>
      <c r="C265" s="19"/>
      <c r="D265" s="10"/>
      <c r="E265" s="8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5"/>
      <c r="B266" s="18"/>
      <c r="C266" s="19"/>
      <c r="D266" s="10"/>
      <c r="E266" s="8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5"/>
      <c r="B267" s="18"/>
      <c r="C267" s="19"/>
      <c r="D267" s="10"/>
      <c r="E267" s="8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5"/>
      <c r="B268" s="18"/>
      <c r="C268" s="19"/>
      <c r="D268" s="10"/>
      <c r="E268" s="8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5"/>
      <c r="B269" s="18"/>
      <c r="C269" s="19"/>
      <c r="D269" s="10"/>
      <c r="E269" s="8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5"/>
      <c r="B270" s="18"/>
      <c r="C270" s="19"/>
      <c r="D270" s="10"/>
      <c r="E270" s="8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5"/>
      <c r="B271" s="18"/>
      <c r="C271" s="19"/>
      <c r="D271" s="10"/>
      <c r="E271" s="8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5"/>
      <c r="B272" s="18"/>
      <c r="C272" s="19"/>
      <c r="D272" s="10"/>
      <c r="E272" s="8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5"/>
      <c r="B273" s="18"/>
      <c r="C273" s="19"/>
      <c r="D273" s="10"/>
      <c r="E273" s="8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5"/>
      <c r="B274" s="18"/>
      <c r="C274" s="19"/>
      <c r="D274" s="10"/>
      <c r="E274" s="8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5"/>
      <c r="B275" s="18"/>
      <c r="C275" s="19"/>
      <c r="D275" s="10"/>
      <c r="E275" s="8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5"/>
      <c r="B276" s="18"/>
      <c r="C276" s="19"/>
      <c r="D276" s="10"/>
      <c r="E276" s="8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5"/>
      <c r="B277" s="18"/>
      <c r="C277" s="19"/>
      <c r="D277" s="10"/>
      <c r="E277" s="8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5"/>
      <c r="B278" s="18"/>
      <c r="C278" s="19"/>
      <c r="D278" s="10"/>
      <c r="E278" s="8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5"/>
      <c r="B279" s="18"/>
      <c r="C279" s="19"/>
      <c r="D279" s="10"/>
      <c r="E279" s="8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5"/>
      <c r="B280" s="18"/>
      <c r="C280" s="19"/>
      <c r="D280" s="10"/>
      <c r="E280" s="8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5"/>
      <c r="B281" s="18"/>
      <c r="C281" s="19"/>
      <c r="D281" s="10"/>
      <c r="E281" s="8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5"/>
      <c r="B282" s="18"/>
      <c r="C282" s="19"/>
      <c r="D282" s="10"/>
      <c r="E282" s="8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5"/>
      <c r="B283" s="18"/>
      <c r="C283" s="19"/>
      <c r="D283" s="10"/>
      <c r="E283" s="8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5"/>
      <c r="B284" s="18"/>
      <c r="C284" s="19"/>
      <c r="D284" s="10"/>
      <c r="E284" s="8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5"/>
      <c r="B285" s="18"/>
      <c r="C285" s="19"/>
      <c r="D285" s="10"/>
      <c r="E285" s="8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5"/>
      <c r="B286" s="18"/>
      <c r="C286" s="19"/>
      <c r="D286" s="10"/>
      <c r="E286" s="8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5"/>
      <c r="B287" s="18"/>
      <c r="C287" s="19"/>
      <c r="D287" s="10"/>
      <c r="E287" s="8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5"/>
      <c r="B288" s="18"/>
      <c r="C288" s="19"/>
      <c r="D288" s="10"/>
      <c r="E288" s="8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5"/>
      <c r="B289" s="18"/>
      <c r="C289" s="19"/>
      <c r="D289" s="10"/>
      <c r="E289" s="8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5"/>
      <c r="B290" s="18"/>
      <c r="C290" s="19"/>
      <c r="D290" s="10"/>
      <c r="E290" s="8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5"/>
      <c r="B291" s="18"/>
      <c r="C291" s="19"/>
      <c r="D291" s="10"/>
      <c r="E291" s="8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5"/>
      <c r="B292" s="18"/>
      <c r="C292" s="19"/>
      <c r="D292" s="10"/>
      <c r="E292" s="8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5"/>
      <c r="B293" s="18"/>
      <c r="C293" s="19"/>
      <c r="D293" s="10"/>
      <c r="E293" s="8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5"/>
      <c r="B294" s="18"/>
      <c r="C294" s="19"/>
      <c r="D294" s="10"/>
      <c r="E294" s="8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5"/>
      <c r="B295" s="18"/>
      <c r="C295" s="19"/>
      <c r="D295" s="10"/>
      <c r="E295" s="8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5"/>
      <c r="B296" s="18"/>
      <c r="C296" s="19"/>
      <c r="D296" s="10"/>
      <c r="E296" s="8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5"/>
      <c r="B297" s="18"/>
      <c r="C297" s="19"/>
      <c r="D297" s="10"/>
      <c r="E297" s="8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5"/>
      <c r="B298" s="18"/>
      <c r="C298" s="19"/>
      <c r="D298" s="10"/>
      <c r="E298" s="8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5"/>
      <c r="B299" s="18"/>
      <c r="C299" s="19"/>
      <c r="D299" s="10"/>
      <c r="E299" s="8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5"/>
      <c r="B300" s="18"/>
      <c r="C300" s="19"/>
      <c r="D300" s="10"/>
      <c r="E300" s="8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5"/>
      <c r="B301" s="18"/>
      <c r="C301" s="19"/>
      <c r="D301" s="10"/>
      <c r="E301" s="8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5"/>
      <c r="B302" s="18"/>
      <c r="C302" s="19"/>
      <c r="D302" s="10"/>
      <c r="E302" s="8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5"/>
      <c r="B303" s="18"/>
      <c r="C303" s="19"/>
      <c r="D303" s="10"/>
      <c r="E303" s="8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5"/>
      <c r="B304" s="18"/>
      <c r="C304" s="19"/>
      <c r="D304" s="10"/>
      <c r="E304" s="8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5"/>
      <c r="B305" s="18"/>
      <c r="C305" s="19"/>
      <c r="D305" s="10"/>
      <c r="E305" s="8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5"/>
      <c r="B306" s="18"/>
      <c r="C306" s="19"/>
      <c r="D306" s="10"/>
      <c r="E306" s="8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5"/>
      <c r="B307" s="18"/>
      <c r="C307" s="19"/>
      <c r="D307" s="10"/>
      <c r="E307" s="8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5"/>
      <c r="B308" s="18"/>
      <c r="C308" s="19"/>
      <c r="D308" s="10"/>
      <c r="E308" s="8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5"/>
      <c r="B309" s="18"/>
      <c r="C309" s="19"/>
      <c r="D309" s="10"/>
      <c r="E309" s="8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5"/>
      <c r="B310" s="18"/>
      <c r="C310" s="19"/>
      <c r="D310" s="10"/>
      <c r="E310" s="8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5"/>
      <c r="B311" s="18"/>
      <c r="C311" s="19"/>
      <c r="D311" s="10"/>
      <c r="E311" s="8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5"/>
      <c r="B312" s="18"/>
      <c r="C312" s="19"/>
      <c r="D312" s="10"/>
      <c r="E312" s="8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5"/>
      <c r="B313" s="18"/>
      <c r="C313" s="19"/>
      <c r="D313" s="10"/>
      <c r="E313" s="8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5"/>
      <c r="B314" s="18"/>
      <c r="C314" s="19"/>
      <c r="D314" s="10"/>
      <c r="E314" s="8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5"/>
      <c r="B315" s="18"/>
      <c r="C315" s="19"/>
      <c r="D315" s="10"/>
      <c r="E315" s="8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5"/>
      <c r="B316" s="18"/>
      <c r="C316" s="19"/>
      <c r="D316" s="10"/>
      <c r="E316" s="8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5"/>
      <c r="B317" s="18"/>
      <c r="C317" s="19"/>
      <c r="D317" s="10"/>
      <c r="E317" s="8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5"/>
      <c r="B318" s="18"/>
      <c r="C318" s="19"/>
      <c r="D318" s="10"/>
      <c r="E318" s="8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5"/>
      <c r="B319" s="18"/>
      <c r="C319" s="19"/>
      <c r="D319" s="10"/>
      <c r="E319" s="8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5"/>
      <c r="B320" s="18"/>
      <c r="C320" s="19"/>
      <c r="D320" s="10"/>
      <c r="E320" s="8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5"/>
      <c r="B321" s="18"/>
      <c r="C321" s="19"/>
      <c r="D321" s="10"/>
      <c r="E321" s="8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5"/>
      <c r="B322" s="18"/>
      <c r="C322" s="19"/>
      <c r="D322" s="10"/>
      <c r="E322" s="8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5"/>
      <c r="B323" s="18"/>
      <c r="C323" s="19"/>
      <c r="D323" s="10"/>
      <c r="E323" s="8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5"/>
      <c r="B324" s="18"/>
      <c r="C324" s="19"/>
      <c r="D324" s="10"/>
      <c r="E324" s="8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5"/>
      <c r="B325" s="18"/>
      <c r="C325" s="19"/>
      <c r="D325" s="10"/>
      <c r="E325" s="8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5"/>
      <c r="B326" s="18"/>
      <c r="C326" s="19"/>
      <c r="D326" s="10"/>
      <c r="E326" s="8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5"/>
      <c r="B327" s="18"/>
      <c r="C327" s="19"/>
      <c r="D327" s="10"/>
      <c r="E327" s="8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5"/>
      <c r="B328" s="18"/>
      <c r="C328" s="19"/>
      <c r="D328" s="10"/>
      <c r="E328" s="8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5"/>
      <c r="B329" s="18"/>
      <c r="C329" s="19"/>
      <c r="D329" s="10"/>
      <c r="E329" s="8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5"/>
      <c r="B330" s="18"/>
      <c r="C330" s="19"/>
      <c r="D330" s="10"/>
      <c r="E330" s="8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5"/>
      <c r="B331" s="18"/>
      <c r="C331" s="19"/>
      <c r="D331" s="10"/>
      <c r="E331" s="8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5"/>
      <c r="B332" s="18"/>
      <c r="C332" s="19"/>
      <c r="D332" s="10"/>
      <c r="E332" s="8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5"/>
      <c r="B333" s="18"/>
      <c r="C333" s="19"/>
      <c r="D333" s="10"/>
      <c r="E333" s="8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5"/>
      <c r="B334" s="18"/>
      <c r="C334" s="19"/>
      <c r="D334" s="10"/>
      <c r="E334" s="8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5"/>
      <c r="B335" s="18"/>
      <c r="C335" s="19"/>
      <c r="D335" s="10"/>
      <c r="E335" s="8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5"/>
      <c r="B336" s="18"/>
      <c r="C336" s="19"/>
      <c r="D336" s="10"/>
      <c r="E336" s="8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5"/>
      <c r="B337" s="18"/>
      <c r="C337" s="19"/>
      <c r="D337" s="10"/>
      <c r="E337" s="8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5"/>
      <c r="B338" s="18"/>
      <c r="C338" s="19"/>
      <c r="D338" s="10"/>
      <c r="E338" s="8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5"/>
      <c r="B339" s="18"/>
      <c r="C339" s="19"/>
      <c r="D339" s="10"/>
      <c r="E339" s="8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5"/>
      <c r="B340" s="18"/>
      <c r="C340" s="19"/>
      <c r="D340" s="10"/>
      <c r="E340" s="8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5"/>
      <c r="B341" s="18"/>
      <c r="C341" s="19"/>
      <c r="D341" s="10"/>
      <c r="E341" s="8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5"/>
      <c r="B342" s="18"/>
      <c r="C342" s="19"/>
      <c r="D342" s="10"/>
      <c r="E342" s="8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5"/>
      <c r="B343" s="18"/>
      <c r="C343" s="19"/>
      <c r="D343" s="10"/>
      <c r="E343" s="8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5"/>
      <c r="B344" s="18"/>
      <c r="C344" s="19"/>
      <c r="D344" s="10"/>
      <c r="E344" s="8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5"/>
      <c r="B345" s="18"/>
      <c r="C345" s="19"/>
      <c r="D345" s="10"/>
      <c r="E345" s="8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5"/>
      <c r="B346" s="18"/>
      <c r="C346" s="19"/>
      <c r="D346" s="10"/>
      <c r="E346" s="8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5"/>
      <c r="B347" s="18"/>
      <c r="C347" s="19"/>
      <c r="D347" s="10"/>
      <c r="E347" s="8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5"/>
      <c r="B348" s="18"/>
      <c r="C348" s="19"/>
      <c r="D348" s="10"/>
      <c r="E348" s="8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5"/>
      <c r="B349" s="18"/>
      <c r="C349" s="19"/>
      <c r="D349" s="10"/>
      <c r="E349" s="8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5"/>
      <c r="B350" s="18"/>
      <c r="C350" s="19"/>
      <c r="D350" s="10"/>
      <c r="E350" s="8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5"/>
      <c r="B351" s="18"/>
      <c r="C351" s="19"/>
      <c r="D351" s="10"/>
      <c r="E351" s="8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5"/>
      <c r="B352" s="18"/>
      <c r="C352" s="19"/>
      <c r="D352" s="10"/>
      <c r="E352" s="8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5"/>
      <c r="B353" s="18"/>
      <c r="C353" s="19"/>
      <c r="D353" s="10"/>
      <c r="E353" s="8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5"/>
      <c r="B354" s="18"/>
      <c r="C354" s="19"/>
      <c r="D354" s="10"/>
      <c r="E354" s="8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5"/>
      <c r="B355" s="18"/>
      <c r="C355" s="19"/>
      <c r="D355" s="10"/>
      <c r="E355" s="8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5"/>
      <c r="B356" s="18"/>
      <c r="C356" s="19"/>
      <c r="D356" s="10"/>
      <c r="E356" s="8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5"/>
      <c r="B357" s="18"/>
      <c r="C357" s="19"/>
      <c r="D357" s="10"/>
      <c r="E357" s="8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5"/>
      <c r="B358" s="18"/>
      <c r="C358" s="19"/>
      <c r="D358" s="10"/>
      <c r="E358" s="8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5"/>
      <c r="B359" s="18"/>
      <c r="C359" s="19"/>
      <c r="D359" s="10"/>
      <c r="E359" s="8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5"/>
      <c r="B360" s="18"/>
      <c r="C360" s="19"/>
      <c r="D360" s="10"/>
      <c r="E360" s="8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5"/>
      <c r="B361" s="18"/>
      <c r="C361" s="19"/>
      <c r="D361" s="10"/>
      <c r="E361" s="8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5"/>
      <c r="B362" s="18"/>
      <c r="C362" s="19"/>
      <c r="D362" s="10"/>
      <c r="E362" s="8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5"/>
      <c r="B363" s="18"/>
      <c r="C363" s="19"/>
      <c r="D363" s="10"/>
      <c r="E363" s="8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5"/>
      <c r="B364" s="18"/>
      <c r="C364" s="19"/>
      <c r="D364" s="10"/>
      <c r="E364" s="8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5"/>
      <c r="B365" s="18"/>
      <c r="C365" s="19"/>
      <c r="D365" s="10"/>
      <c r="E365" s="8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5"/>
      <c r="B366" s="18"/>
      <c r="C366" s="19"/>
      <c r="D366" s="10"/>
      <c r="E366" s="8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5"/>
      <c r="B367" s="18"/>
      <c r="C367" s="19"/>
      <c r="D367" s="10"/>
      <c r="E367" s="8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5"/>
      <c r="B368" s="18"/>
      <c r="C368" s="19"/>
      <c r="D368" s="10"/>
      <c r="E368" s="8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5"/>
      <c r="B369" s="18"/>
      <c r="C369" s="19"/>
      <c r="D369" s="10"/>
      <c r="E369" s="8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5"/>
      <c r="B370" s="18"/>
      <c r="C370" s="19"/>
      <c r="D370" s="10"/>
      <c r="E370" s="8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5"/>
      <c r="B371" s="18"/>
      <c r="C371" s="19"/>
      <c r="D371" s="10"/>
      <c r="E371" s="8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5"/>
      <c r="B372" s="18"/>
      <c r="C372" s="19"/>
      <c r="D372" s="10"/>
      <c r="E372" s="8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5"/>
      <c r="B373" s="18"/>
      <c r="C373" s="19"/>
      <c r="D373" s="10"/>
      <c r="E373" s="8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5"/>
      <c r="B374" s="18"/>
      <c r="C374" s="19"/>
      <c r="D374" s="10"/>
      <c r="E374" s="8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5"/>
      <c r="B375" s="18"/>
      <c r="C375" s="19"/>
      <c r="D375" s="10"/>
      <c r="E375" s="8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5"/>
      <c r="B376" s="18"/>
      <c r="C376" s="19"/>
      <c r="D376" s="10"/>
      <c r="E376" s="8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5"/>
      <c r="B377" s="18"/>
      <c r="C377" s="19"/>
      <c r="D377" s="10"/>
      <c r="E377" s="8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5"/>
      <c r="B378" s="18"/>
      <c r="C378" s="19"/>
      <c r="D378" s="10"/>
      <c r="E378" s="8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5"/>
      <c r="B379" s="18"/>
      <c r="C379" s="19"/>
      <c r="D379" s="10"/>
      <c r="E379" s="8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5"/>
      <c r="B380" s="18"/>
      <c r="C380" s="19"/>
      <c r="D380" s="10"/>
      <c r="E380" s="8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5"/>
      <c r="B381" s="18"/>
      <c r="C381" s="19"/>
      <c r="D381" s="10"/>
      <c r="E381" s="8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5"/>
      <c r="B382" s="18"/>
      <c r="C382" s="19"/>
      <c r="D382" s="10"/>
      <c r="E382" s="8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5"/>
      <c r="B383" s="18"/>
      <c r="C383" s="19"/>
      <c r="D383" s="10"/>
      <c r="E383" s="8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5"/>
      <c r="B384" s="18"/>
      <c r="C384" s="19"/>
      <c r="D384" s="10"/>
      <c r="E384" s="8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5"/>
      <c r="B385" s="18"/>
      <c r="C385" s="19"/>
      <c r="D385" s="10"/>
      <c r="E385" s="8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5"/>
      <c r="B386" s="18"/>
      <c r="C386" s="19"/>
      <c r="D386" s="10"/>
      <c r="E386" s="8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5"/>
      <c r="B387" s="18"/>
      <c r="C387" s="19"/>
      <c r="D387" s="10"/>
      <c r="E387" s="8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5"/>
      <c r="B388" s="18"/>
      <c r="C388" s="19"/>
      <c r="D388" s="10"/>
      <c r="E388" s="8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5"/>
      <c r="B389" s="18"/>
      <c r="C389" s="19"/>
      <c r="D389" s="10"/>
      <c r="E389" s="8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5"/>
      <c r="B390" s="18"/>
      <c r="C390" s="19"/>
      <c r="D390" s="10"/>
      <c r="E390" s="8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5"/>
      <c r="B391" s="18"/>
      <c r="C391" s="19"/>
      <c r="D391" s="10"/>
      <c r="E391" s="8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5"/>
      <c r="B392" s="18"/>
      <c r="C392" s="19"/>
      <c r="D392" s="10"/>
      <c r="E392" s="8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5"/>
      <c r="B393" s="18"/>
      <c r="C393" s="19"/>
      <c r="D393" s="10"/>
      <c r="E393" s="8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5"/>
      <c r="B394" s="18"/>
      <c r="C394" s="19"/>
      <c r="D394" s="10"/>
      <c r="E394" s="8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5"/>
      <c r="B395" s="18"/>
      <c r="C395" s="19"/>
      <c r="D395" s="10"/>
      <c r="E395" s="8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5"/>
      <c r="B396" s="18"/>
      <c r="C396" s="19"/>
      <c r="D396" s="10"/>
      <c r="E396" s="8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5"/>
      <c r="B397" s="18"/>
      <c r="C397" s="19"/>
      <c r="D397" s="10"/>
      <c r="E397" s="8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5"/>
      <c r="B398" s="18"/>
      <c r="C398" s="19"/>
      <c r="D398" s="10"/>
      <c r="E398" s="8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5"/>
      <c r="B399" s="18"/>
      <c r="C399" s="19"/>
      <c r="D399" s="10"/>
      <c r="E399" s="8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5"/>
      <c r="B400" s="18"/>
      <c r="C400" s="19"/>
      <c r="D400" s="10"/>
      <c r="E400" s="8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5"/>
      <c r="B401" s="18"/>
      <c r="C401" s="19"/>
      <c r="D401" s="10"/>
      <c r="E401" s="8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5"/>
      <c r="B402" s="18"/>
      <c r="C402" s="19"/>
      <c r="D402" s="10"/>
      <c r="E402" s="8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5"/>
      <c r="B403" s="18"/>
      <c r="C403" s="19"/>
      <c r="D403" s="10"/>
      <c r="E403" s="8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5"/>
      <c r="B404" s="18"/>
      <c r="C404" s="19"/>
      <c r="D404" s="10"/>
      <c r="E404" s="8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5"/>
      <c r="B405" s="18"/>
      <c r="C405" s="19"/>
      <c r="D405" s="10"/>
      <c r="E405" s="8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5"/>
      <c r="B406" s="18"/>
      <c r="C406" s="19"/>
      <c r="D406" s="10"/>
      <c r="E406" s="8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5"/>
      <c r="B407" s="18"/>
      <c r="C407" s="19"/>
      <c r="D407" s="10"/>
      <c r="E407" s="8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5"/>
      <c r="B408" s="18"/>
      <c r="C408" s="19"/>
      <c r="D408" s="10"/>
      <c r="E408" s="8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5"/>
      <c r="B409" s="18"/>
      <c r="C409" s="19"/>
      <c r="D409" s="10"/>
      <c r="E409" s="8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5"/>
      <c r="B410" s="18"/>
      <c r="C410" s="19"/>
      <c r="D410" s="10"/>
      <c r="E410" s="8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5"/>
      <c r="B411" s="18"/>
      <c r="C411" s="19"/>
      <c r="D411" s="10"/>
      <c r="E411" s="8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5"/>
      <c r="B412" s="18"/>
      <c r="C412" s="19"/>
      <c r="D412" s="10"/>
      <c r="E412" s="8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5"/>
      <c r="B413" s="18"/>
      <c r="C413" s="19"/>
      <c r="D413" s="10"/>
      <c r="E413" s="8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5"/>
      <c r="B414" s="18"/>
      <c r="C414" s="19"/>
      <c r="D414" s="10"/>
      <c r="E414" s="8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5"/>
      <c r="B415" s="18"/>
      <c r="C415" s="19"/>
      <c r="D415" s="10"/>
      <c r="E415" s="8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5"/>
      <c r="B416" s="18"/>
      <c r="C416" s="19"/>
      <c r="D416" s="10"/>
      <c r="E416" s="8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5"/>
      <c r="B417" s="18"/>
      <c r="C417" s="19"/>
      <c r="D417" s="10"/>
      <c r="E417" s="8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5"/>
      <c r="B418" s="18"/>
      <c r="C418" s="19"/>
      <c r="D418" s="10"/>
      <c r="E418" s="8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5"/>
      <c r="B419" s="18"/>
      <c r="C419" s="19"/>
      <c r="D419" s="10"/>
      <c r="E419" s="8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5"/>
      <c r="B420" s="18"/>
      <c r="C420" s="19"/>
      <c r="D420" s="10"/>
      <c r="E420" s="8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5"/>
      <c r="B421" s="18"/>
      <c r="C421" s="19"/>
      <c r="D421" s="10"/>
      <c r="E421" s="8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5"/>
      <c r="B422" s="18"/>
      <c r="C422" s="19"/>
      <c r="D422" s="10"/>
      <c r="E422" s="8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5"/>
      <c r="B423" s="18"/>
      <c r="C423" s="19"/>
      <c r="D423" s="10"/>
      <c r="E423" s="8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5"/>
      <c r="B424" s="18"/>
      <c r="C424" s="19"/>
      <c r="D424" s="10"/>
      <c r="E424" s="8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5"/>
      <c r="B425" s="18"/>
      <c r="C425" s="19"/>
      <c r="D425" s="10"/>
      <c r="E425" s="8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5"/>
      <c r="B426" s="18"/>
      <c r="C426" s="19"/>
      <c r="D426" s="10"/>
      <c r="E426" s="8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5"/>
      <c r="B427" s="18"/>
      <c r="C427" s="19"/>
      <c r="D427" s="10"/>
      <c r="E427" s="8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5"/>
      <c r="B428" s="18"/>
      <c r="C428" s="19"/>
      <c r="D428" s="10"/>
      <c r="E428" s="8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5"/>
      <c r="B429" s="18"/>
      <c r="C429" s="19"/>
      <c r="D429" s="10"/>
      <c r="E429" s="8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5"/>
      <c r="B430" s="18"/>
      <c r="C430" s="19"/>
      <c r="D430" s="10"/>
      <c r="E430" s="8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5"/>
      <c r="B431" s="18"/>
      <c r="C431" s="19"/>
      <c r="D431" s="10"/>
      <c r="E431" s="8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5"/>
      <c r="B432" s="18"/>
      <c r="C432" s="19"/>
      <c r="D432" s="10"/>
      <c r="E432" s="8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5"/>
      <c r="B433" s="18"/>
      <c r="C433" s="19"/>
      <c r="D433" s="10"/>
      <c r="E433" s="8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5"/>
      <c r="B434" s="18"/>
      <c r="C434" s="19"/>
      <c r="D434" s="10"/>
      <c r="E434" s="8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5"/>
      <c r="B435" s="18"/>
      <c r="C435" s="19"/>
      <c r="D435" s="10"/>
      <c r="E435" s="8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5"/>
      <c r="B436" s="18"/>
      <c r="C436" s="19"/>
      <c r="D436" s="10"/>
      <c r="E436" s="8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5"/>
      <c r="B437" s="18"/>
      <c r="C437" s="19"/>
      <c r="D437" s="10"/>
      <c r="E437" s="8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5"/>
      <c r="B438" s="18"/>
      <c r="C438" s="19"/>
      <c r="D438" s="10"/>
      <c r="E438" s="8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5"/>
      <c r="B439" s="18"/>
      <c r="C439" s="19"/>
      <c r="D439" s="10"/>
      <c r="E439" s="8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5"/>
      <c r="B440" s="18"/>
      <c r="C440" s="19"/>
      <c r="D440" s="10"/>
      <c r="E440" s="8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5"/>
      <c r="B441" s="18"/>
      <c r="C441" s="19"/>
      <c r="D441" s="10"/>
      <c r="E441" s="8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5"/>
      <c r="B442" s="18"/>
      <c r="C442" s="19"/>
      <c r="D442" s="10"/>
      <c r="E442" s="8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5"/>
      <c r="B443" s="18"/>
      <c r="C443" s="19"/>
      <c r="D443" s="10"/>
      <c r="E443" s="8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5"/>
      <c r="B444" s="18"/>
      <c r="C444" s="19"/>
      <c r="D444" s="10"/>
      <c r="E444" s="8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5"/>
      <c r="B445" s="18"/>
      <c r="C445" s="19"/>
      <c r="D445" s="10"/>
      <c r="E445" s="8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5"/>
      <c r="B446" s="18"/>
      <c r="C446" s="19"/>
      <c r="D446" s="10"/>
      <c r="E446" s="8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5"/>
      <c r="B447" s="18"/>
      <c r="C447" s="19"/>
      <c r="D447" s="10"/>
      <c r="E447" s="8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5"/>
      <c r="B448" s="18"/>
      <c r="C448" s="19"/>
      <c r="D448" s="10"/>
      <c r="E448" s="8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5"/>
      <c r="B449" s="18"/>
      <c r="C449" s="19"/>
      <c r="D449" s="10"/>
      <c r="E449" s="8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5"/>
      <c r="B450" s="18"/>
      <c r="C450" s="19"/>
      <c r="D450" s="10"/>
      <c r="E450" s="8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5"/>
      <c r="B451" s="18"/>
      <c r="C451" s="19"/>
      <c r="D451" s="10"/>
      <c r="E451" s="8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5"/>
      <c r="B452" s="18"/>
      <c r="C452" s="19"/>
      <c r="D452" s="10"/>
      <c r="E452" s="8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5"/>
      <c r="B453" s="18"/>
      <c r="C453" s="19"/>
      <c r="D453" s="10"/>
      <c r="E453" s="8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5"/>
      <c r="B454" s="18"/>
      <c r="C454" s="19"/>
      <c r="D454" s="10"/>
      <c r="E454" s="8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5"/>
      <c r="B455" s="18"/>
      <c r="C455" s="19"/>
      <c r="D455" s="10"/>
      <c r="E455" s="8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5"/>
      <c r="B456" s="18"/>
      <c r="C456" s="19"/>
      <c r="D456" s="10"/>
      <c r="E456" s="8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5"/>
      <c r="B457" s="18"/>
      <c r="C457" s="19"/>
      <c r="D457" s="10"/>
      <c r="E457" s="8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5"/>
      <c r="B458" s="18"/>
      <c r="C458" s="19"/>
      <c r="D458" s="10"/>
      <c r="E458" s="8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5"/>
      <c r="B459" s="18"/>
      <c r="C459" s="19"/>
      <c r="D459" s="10"/>
      <c r="E459" s="8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5"/>
      <c r="B460" s="18"/>
      <c r="C460" s="19"/>
      <c r="D460" s="10"/>
      <c r="E460" s="8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5"/>
      <c r="B461" s="18"/>
      <c r="C461" s="19"/>
      <c r="D461" s="10"/>
      <c r="E461" s="8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5"/>
      <c r="B462" s="18"/>
      <c r="C462" s="19"/>
      <c r="D462" s="10"/>
      <c r="E462" s="8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5"/>
      <c r="B463" s="18"/>
      <c r="C463" s="19"/>
      <c r="D463" s="10"/>
      <c r="E463" s="8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5"/>
      <c r="B464" s="18"/>
      <c r="C464" s="19"/>
      <c r="D464" s="10"/>
      <c r="E464" s="8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5"/>
      <c r="B465" s="18"/>
      <c r="C465" s="19"/>
      <c r="D465" s="10"/>
      <c r="E465" s="8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5"/>
      <c r="B466" s="18"/>
      <c r="C466" s="19"/>
      <c r="D466" s="10"/>
      <c r="E466" s="8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5"/>
      <c r="B467" s="18"/>
      <c r="C467" s="19"/>
      <c r="D467" s="10"/>
      <c r="E467" s="8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5"/>
      <c r="B468" s="18"/>
      <c r="C468" s="19"/>
      <c r="D468" s="10"/>
      <c r="E468" s="8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5"/>
      <c r="B469" s="18"/>
      <c r="C469" s="19"/>
      <c r="D469" s="10"/>
      <c r="E469" s="8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5"/>
      <c r="B470" s="18"/>
      <c r="C470" s="19"/>
      <c r="D470" s="10"/>
      <c r="E470" s="8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5"/>
      <c r="B471" s="18"/>
      <c r="C471" s="19"/>
      <c r="D471" s="10"/>
      <c r="E471" s="8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5"/>
      <c r="B472" s="18"/>
      <c r="C472" s="19"/>
      <c r="D472" s="10"/>
      <c r="E472" s="8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5"/>
      <c r="B473" s="18"/>
      <c r="C473" s="19"/>
      <c r="D473" s="10"/>
      <c r="E473" s="8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5"/>
      <c r="B474" s="18"/>
      <c r="C474" s="19"/>
      <c r="D474" s="10"/>
      <c r="E474" s="8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5"/>
      <c r="B475" s="18"/>
      <c r="C475" s="19"/>
      <c r="D475" s="10"/>
      <c r="E475" s="8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5"/>
      <c r="B476" s="18"/>
      <c r="C476" s="19"/>
      <c r="D476" s="10"/>
      <c r="E476" s="8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5"/>
      <c r="B477" s="18"/>
      <c r="C477" s="19"/>
      <c r="D477" s="10"/>
      <c r="E477" s="8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5"/>
      <c r="B478" s="18"/>
      <c r="C478" s="19"/>
      <c r="D478" s="10"/>
      <c r="E478" s="8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5"/>
      <c r="B479" s="18"/>
      <c r="C479" s="19"/>
      <c r="D479" s="10"/>
      <c r="E479" s="8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5"/>
      <c r="B480" s="18"/>
      <c r="C480" s="19"/>
      <c r="D480" s="10"/>
      <c r="E480" s="8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5"/>
      <c r="B481" s="18"/>
      <c r="C481" s="19"/>
      <c r="D481" s="10"/>
      <c r="E481" s="8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5"/>
      <c r="B482" s="18"/>
      <c r="C482" s="19"/>
      <c r="D482" s="10"/>
      <c r="E482" s="8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5"/>
      <c r="B483" s="18"/>
      <c r="C483" s="19"/>
      <c r="D483" s="10"/>
      <c r="E483" s="8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5"/>
      <c r="B484" s="18"/>
      <c r="C484" s="19"/>
      <c r="D484" s="10"/>
      <c r="E484" s="8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5"/>
      <c r="B485" s="18"/>
      <c r="C485" s="19"/>
      <c r="D485" s="10"/>
      <c r="E485" s="8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5"/>
      <c r="B486" s="18"/>
      <c r="C486" s="19"/>
      <c r="D486" s="10"/>
      <c r="E486" s="8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5"/>
      <c r="B487" s="18"/>
      <c r="C487" s="19"/>
      <c r="D487" s="10"/>
      <c r="E487" s="8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5"/>
      <c r="B488" s="18"/>
      <c r="C488" s="19"/>
      <c r="D488" s="10"/>
      <c r="E488" s="8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5"/>
      <c r="B489" s="18"/>
      <c r="C489" s="19"/>
      <c r="D489" s="10"/>
      <c r="E489" s="8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5"/>
      <c r="B490" s="18"/>
      <c r="C490" s="19"/>
      <c r="D490" s="10"/>
      <c r="E490" s="8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5"/>
      <c r="B491" s="18"/>
      <c r="C491" s="19"/>
      <c r="D491" s="10"/>
      <c r="E491" s="8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5"/>
      <c r="B492" s="18"/>
      <c r="C492" s="19"/>
      <c r="D492" s="10"/>
      <c r="E492" s="8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5"/>
      <c r="B493" s="18"/>
      <c r="C493" s="19"/>
      <c r="D493" s="10"/>
      <c r="E493" s="8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5"/>
      <c r="B494" s="18"/>
      <c r="C494" s="19"/>
      <c r="D494" s="10"/>
      <c r="E494" s="8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5"/>
      <c r="B495" s="18"/>
      <c r="C495" s="19"/>
      <c r="D495" s="10"/>
      <c r="E495" s="8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5"/>
      <c r="B496" s="18"/>
      <c r="C496" s="19"/>
      <c r="D496" s="10"/>
      <c r="E496" s="8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5"/>
      <c r="B497" s="18"/>
      <c r="C497" s="19"/>
      <c r="D497" s="10"/>
      <c r="E497" s="8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5"/>
      <c r="B498" s="18"/>
      <c r="C498" s="19"/>
      <c r="D498" s="10"/>
      <c r="E498" s="8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5"/>
      <c r="B499" s="18"/>
      <c r="C499" s="19"/>
      <c r="D499" s="10"/>
      <c r="E499" s="8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5"/>
      <c r="B500" s="18"/>
      <c r="C500" s="19"/>
      <c r="D500" s="10"/>
      <c r="E500" s="8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5"/>
      <c r="B501" s="18"/>
      <c r="C501" s="19"/>
      <c r="D501" s="10"/>
      <c r="E501" s="8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5"/>
      <c r="B502" s="18"/>
      <c r="C502" s="19"/>
      <c r="D502" s="10"/>
      <c r="E502" s="8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5"/>
      <c r="B503" s="18"/>
      <c r="C503" s="19"/>
      <c r="D503" s="10"/>
      <c r="E503" s="8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5"/>
      <c r="B504" s="18"/>
      <c r="C504" s="19"/>
      <c r="D504" s="10"/>
      <c r="E504" s="8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5"/>
      <c r="B505" s="18"/>
      <c r="C505" s="19"/>
      <c r="D505" s="10"/>
      <c r="E505" s="8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5"/>
      <c r="B506" s="18"/>
      <c r="C506" s="19"/>
      <c r="D506" s="10"/>
      <c r="E506" s="8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5"/>
      <c r="B507" s="18"/>
      <c r="C507" s="19"/>
      <c r="D507" s="10"/>
      <c r="E507" s="8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5"/>
      <c r="B508" s="18"/>
      <c r="C508" s="19"/>
      <c r="D508" s="10"/>
      <c r="E508" s="8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5"/>
      <c r="B509" s="18"/>
      <c r="C509" s="19"/>
      <c r="D509" s="10"/>
      <c r="E509" s="8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5"/>
      <c r="B510" s="18"/>
      <c r="C510" s="19"/>
      <c r="D510" s="10"/>
      <c r="E510" s="8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5"/>
      <c r="B511" s="18"/>
      <c r="C511" s="19"/>
      <c r="D511" s="10"/>
      <c r="E511" s="8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5"/>
      <c r="B512" s="18"/>
      <c r="C512" s="19"/>
      <c r="D512" s="10"/>
      <c r="E512" s="8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5"/>
      <c r="B513" s="18"/>
      <c r="C513" s="19"/>
      <c r="D513" s="10"/>
      <c r="E513" s="8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5"/>
      <c r="B514" s="18"/>
      <c r="C514" s="19"/>
      <c r="D514" s="10"/>
      <c r="E514" s="8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5"/>
      <c r="B515" s="18"/>
      <c r="C515" s="19"/>
      <c r="D515" s="10"/>
      <c r="E515" s="8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5"/>
      <c r="B516" s="18"/>
      <c r="C516" s="19"/>
      <c r="D516" s="10"/>
      <c r="E516" s="8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5"/>
      <c r="B517" s="18"/>
      <c r="C517" s="19"/>
      <c r="D517" s="10"/>
      <c r="E517" s="8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5"/>
      <c r="B518" s="18"/>
      <c r="C518" s="19"/>
      <c r="D518" s="10"/>
      <c r="E518" s="8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5"/>
      <c r="B519" s="18"/>
      <c r="C519" s="19"/>
      <c r="D519" s="10"/>
      <c r="E519" s="8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5"/>
      <c r="B520" s="18"/>
      <c r="C520" s="19"/>
      <c r="D520" s="10"/>
      <c r="E520" s="8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5"/>
      <c r="B521" s="18"/>
      <c r="C521" s="19"/>
      <c r="D521" s="10"/>
      <c r="E521" s="8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5"/>
      <c r="B522" s="18"/>
      <c r="C522" s="19"/>
      <c r="D522" s="10"/>
      <c r="E522" s="8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5"/>
      <c r="B523" s="18"/>
      <c r="C523" s="19"/>
      <c r="D523" s="10"/>
      <c r="E523" s="8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5"/>
      <c r="B524" s="18"/>
      <c r="C524" s="19"/>
      <c r="D524" s="10"/>
      <c r="E524" s="8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5"/>
      <c r="B525" s="18"/>
      <c r="C525" s="19"/>
      <c r="D525" s="10"/>
      <c r="E525" s="8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5"/>
      <c r="B526" s="18"/>
      <c r="C526" s="19"/>
      <c r="D526" s="10"/>
      <c r="E526" s="8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5"/>
      <c r="B527" s="18"/>
      <c r="C527" s="19"/>
      <c r="D527" s="10"/>
      <c r="E527" s="8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5"/>
      <c r="B528" s="18"/>
      <c r="C528" s="19"/>
      <c r="D528" s="10"/>
      <c r="E528" s="8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5"/>
      <c r="B529" s="18"/>
      <c r="C529" s="19"/>
      <c r="D529" s="10"/>
      <c r="E529" s="8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5"/>
      <c r="B530" s="18"/>
      <c r="C530" s="19"/>
      <c r="D530" s="10"/>
      <c r="E530" s="8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5"/>
      <c r="B531" s="18"/>
      <c r="C531" s="19"/>
      <c r="D531" s="10"/>
      <c r="E531" s="8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5"/>
      <c r="B532" s="18"/>
      <c r="C532" s="19"/>
      <c r="D532" s="10"/>
      <c r="E532" s="8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5"/>
      <c r="B533" s="18"/>
      <c r="C533" s="19"/>
      <c r="D533" s="10"/>
      <c r="E533" s="8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5"/>
      <c r="B534" s="18"/>
      <c r="C534" s="19"/>
      <c r="D534" s="10"/>
      <c r="E534" s="8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5"/>
      <c r="B535" s="18"/>
      <c r="C535" s="19"/>
      <c r="D535" s="10"/>
      <c r="E535" s="8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5"/>
      <c r="B536" s="18"/>
      <c r="C536" s="19"/>
      <c r="D536" s="10"/>
      <c r="E536" s="8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5"/>
      <c r="B537" s="18"/>
      <c r="C537" s="19"/>
      <c r="D537" s="10"/>
      <c r="E537" s="8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5"/>
      <c r="B538" s="18"/>
      <c r="C538" s="19"/>
      <c r="D538" s="10"/>
      <c r="E538" s="8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5"/>
      <c r="B539" s="18"/>
      <c r="C539" s="19"/>
      <c r="D539" s="10"/>
      <c r="E539" s="8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5"/>
      <c r="B540" s="18"/>
      <c r="C540" s="19"/>
      <c r="D540" s="10"/>
      <c r="E540" s="8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5"/>
      <c r="B541" s="18"/>
      <c r="C541" s="19"/>
      <c r="D541" s="10"/>
      <c r="E541" s="8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5"/>
      <c r="B542" s="18"/>
      <c r="C542" s="19"/>
      <c r="D542" s="10"/>
      <c r="E542" s="8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5"/>
      <c r="B543" s="18"/>
      <c r="C543" s="19"/>
      <c r="D543" s="10"/>
      <c r="E543" s="8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5"/>
      <c r="B544" s="18"/>
      <c r="C544" s="19"/>
      <c r="D544" s="10"/>
      <c r="E544" s="8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5"/>
      <c r="B545" s="18"/>
      <c r="C545" s="19"/>
      <c r="D545" s="10"/>
      <c r="E545" s="8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5"/>
      <c r="B546" s="18"/>
      <c r="C546" s="19"/>
      <c r="D546" s="10"/>
      <c r="E546" s="8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5"/>
      <c r="B547" s="18"/>
      <c r="C547" s="19"/>
      <c r="D547" s="10"/>
      <c r="E547" s="8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5"/>
      <c r="B548" s="18"/>
      <c r="C548" s="19"/>
      <c r="D548" s="10"/>
      <c r="E548" s="8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5"/>
      <c r="B549" s="18"/>
      <c r="C549" s="19"/>
      <c r="D549" s="10"/>
      <c r="E549" s="8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5"/>
      <c r="B550" s="18"/>
      <c r="C550" s="19"/>
      <c r="D550" s="10"/>
      <c r="E550" s="8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5"/>
      <c r="B551" s="18"/>
      <c r="C551" s="19"/>
      <c r="D551" s="10"/>
      <c r="E551" s="8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5"/>
      <c r="B552" s="18"/>
      <c r="C552" s="19"/>
      <c r="D552" s="10"/>
      <c r="E552" s="8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5"/>
      <c r="B553" s="18"/>
      <c r="C553" s="19"/>
      <c r="D553" s="10"/>
      <c r="E553" s="8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5"/>
      <c r="B554" s="18"/>
      <c r="C554" s="19"/>
      <c r="D554" s="10"/>
      <c r="E554" s="8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5"/>
      <c r="B555" s="18"/>
      <c r="C555" s="19"/>
      <c r="D555" s="10"/>
      <c r="E555" s="8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5"/>
      <c r="B556" s="18"/>
      <c r="C556" s="19"/>
      <c r="D556" s="10"/>
      <c r="E556" s="8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5"/>
      <c r="B557" s="18"/>
      <c r="C557" s="19"/>
      <c r="D557" s="10"/>
      <c r="E557" s="8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5"/>
      <c r="B558" s="18"/>
      <c r="C558" s="19"/>
      <c r="D558" s="10"/>
      <c r="E558" s="8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5"/>
      <c r="B559" s="18"/>
      <c r="C559" s="19"/>
      <c r="D559" s="10"/>
      <c r="E559" s="8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5"/>
      <c r="B560" s="18"/>
      <c r="C560" s="19"/>
      <c r="D560" s="10"/>
      <c r="E560" s="8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5"/>
      <c r="B561" s="18"/>
      <c r="C561" s="19"/>
      <c r="D561" s="10"/>
      <c r="E561" s="8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5"/>
      <c r="B562" s="18"/>
      <c r="C562" s="19"/>
      <c r="D562" s="10"/>
      <c r="E562" s="8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5"/>
      <c r="B563" s="18"/>
      <c r="C563" s="19"/>
      <c r="D563" s="10"/>
      <c r="E563" s="8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5"/>
      <c r="B564" s="18"/>
      <c r="C564" s="19"/>
      <c r="D564" s="10"/>
      <c r="E564" s="8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5"/>
      <c r="B565" s="18"/>
      <c r="C565" s="19"/>
      <c r="D565" s="10"/>
      <c r="E565" s="8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5"/>
      <c r="B566" s="18"/>
      <c r="C566" s="19"/>
      <c r="D566" s="10"/>
      <c r="E566" s="8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5"/>
      <c r="B567" s="18"/>
      <c r="C567" s="19"/>
      <c r="D567" s="10"/>
      <c r="E567" s="8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5"/>
      <c r="B568" s="18"/>
      <c r="C568" s="19"/>
      <c r="D568" s="10"/>
      <c r="E568" s="8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5"/>
      <c r="B569" s="18"/>
      <c r="C569" s="19"/>
      <c r="D569" s="10"/>
      <c r="E569" s="8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5"/>
      <c r="B570" s="18"/>
      <c r="C570" s="19"/>
      <c r="D570" s="10"/>
      <c r="E570" s="8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5"/>
      <c r="B571" s="18"/>
      <c r="C571" s="19"/>
      <c r="D571" s="10"/>
      <c r="E571" s="8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5"/>
      <c r="B572" s="18"/>
      <c r="C572" s="19"/>
      <c r="D572" s="10"/>
      <c r="E572" s="8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5"/>
      <c r="B573" s="18"/>
      <c r="C573" s="19"/>
      <c r="D573" s="10"/>
      <c r="E573" s="8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5"/>
      <c r="B574" s="18"/>
      <c r="C574" s="19"/>
      <c r="D574" s="10"/>
      <c r="E574" s="8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5"/>
      <c r="B575" s="18"/>
      <c r="C575" s="19"/>
      <c r="D575" s="10"/>
      <c r="E575" s="8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5"/>
      <c r="B576" s="18"/>
      <c r="C576" s="19"/>
      <c r="D576" s="10"/>
      <c r="E576" s="8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5"/>
      <c r="B577" s="18"/>
      <c r="C577" s="19"/>
      <c r="D577" s="10"/>
      <c r="E577" s="8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5"/>
      <c r="B578" s="18"/>
      <c r="C578" s="19"/>
      <c r="D578" s="10"/>
      <c r="E578" s="8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5"/>
      <c r="B579" s="18"/>
      <c r="C579" s="19"/>
      <c r="D579" s="10"/>
      <c r="E579" s="8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5"/>
      <c r="B580" s="18"/>
      <c r="C580" s="19"/>
      <c r="D580" s="10"/>
      <c r="E580" s="8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5"/>
      <c r="B581" s="18"/>
      <c r="C581" s="19"/>
      <c r="D581" s="10"/>
      <c r="E581" s="8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5"/>
      <c r="B582" s="18"/>
      <c r="C582" s="19"/>
      <c r="D582" s="10"/>
      <c r="E582" s="8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5"/>
      <c r="B583" s="18"/>
      <c r="C583" s="19"/>
      <c r="D583" s="10"/>
      <c r="E583" s="8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5"/>
      <c r="B584" s="18"/>
      <c r="C584" s="19"/>
      <c r="D584" s="10"/>
      <c r="E584" s="8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5"/>
      <c r="B585" s="18"/>
      <c r="C585" s="19"/>
      <c r="D585" s="10"/>
      <c r="E585" s="8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5"/>
      <c r="B586" s="18"/>
      <c r="C586" s="19"/>
      <c r="D586" s="10"/>
      <c r="E586" s="8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5"/>
      <c r="B587" s="18"/>
      <c r="C587" s="19"/>
      <c r="D587" s="10"/>
      <c r="E587" s="8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5"/>
      <c r="B588" s="18"/>
      <c r="C588" s="19"/>
      <c r="D588" s="10"/>
      <c r="E588" s="8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5"/>
      <c r="B589" s="18"/>
      <c r="C589" s="19"/>
      <c r="D589" s="10"/>
      <c r="E589" s="8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5"/>
      <c r="B590" s="18"/>
      <c r="C590" s="19"/>
      <c r="D590" s="10"/>
      <c r="E590" s="8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5"/>
      <c r="B591" s="18"/>
      <c r="C591" s="19"/>
      <c r="D591" s="10"/>
      <c r="E591" s="8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5"/>
      <c r="B592" s="18"/>
      <c r="C592" s="19"/>
      <c r="D592" s="10"/>
      <c r="E592" s="8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5"/>
      <c r="B593" s="18"/>
      <c r="C593" s="19"/>
      <c r="D593" s="10"/>
      <c r="E593" s="8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5"/>
      <c r="B594" s="18"/>
      <c r="C594" s="19"/>
      <c r="D594" s="10"/>
      <c r="E594" s="8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5"/>
      <c r="B595" s="18"/>
      <c r="C595" s="19"/>
      <c r="D595" s="10"/>
      <c r="E595" s="8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5"/>
      <c r="B596" s="18"/>
      <c r="C596" s="19"/>
      <c r="D596" s="10"/>
      <c r="E596" s="8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5"/>
      <c r="B597" s="18"/>
      <c r="C597" s="19"/>
      <c r="D597" s="10"/>
      <c r="E597" s="8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5"/>
      <c r="B598" s="18"/>
      <c r="C598" s="19"/>
      <c r="D598" s="10"/>
      <c r="E598" s="8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5"/>
      <c r="B599" s="18"/>
      <c r="C599" s="19"/>
      <c r="D599" s="10"/>
      <c r="E599" s="8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5"/>
      <c r="B600" s="18"/>
      <c r="C600" s="19"/>
      <c r="D600" s="10"/>
      <c r="E600" s="8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5"/>
      <c r="B601" s="18"/>
      <c r="C601" s="19"/>
      <c r="D601" s="10"/>
      <c r="E601" s="8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5"/>
      <c r="B602" s="18"/>
      <c r="C602" s="19"/>
      <c r="D602" s="10"/>
      <c r="E602" s="8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5"/>
      <c r="B603" s="18"/>
      <c r="C603" s="19"/>
      <c r="D603" s="10"/>
      <c r="E603" s="8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5"/>
      <c r="B604" s="18"/>
      <c r="C604" s="19"/>
      <c r="D604" s="10"/>
      <c r="E604" s="8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5"/>
      <c r="B605" s="18"/>
      <c r="C605" s="19"/>
      <c r="D605" s="10"/>
      <c r="E605" s="8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5"/>
      <c r="B606" s="18"/>
      <c r="C606" s="19"/>
      <c r="D606" s="10"/>
      <c r="E606" s="8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5"/>
      <c r="B607" s="18"/>
      <c r="C607" s="19"/>
      <c r="D607" s="10"/>
      <c r="E607" s="8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5"/>
      <c r="B608" s="18"/>
      <c r="C608" s="19"/>
      <c r="D608" s="10"/>
      <c r="E608" s="8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5"/>
      <c r="B609" s="18"/>
      <c r="C609" s="19"/>
      <c r="D609" s="10"/>
      <c r="E609" s="8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5"/>
      <c r="B610" s="18"/>
      <c r="C610" s="19"/>
      <c r="D610" s="10"/>
      <c r="E610" s="8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5"/>
      <c r="B611" s="18"/>
      <c r="C611" s="19"/>
      <c r="D611" s="10"/>
      <c r="E611" s="8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5"/>
      <c r="B612" s="18"/>
      <c r="C612" s="19"/>
      <c r="D612" s="10"/>
      <c r="E612" s="8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5"/>
      <c r="B613" s="18"/>
      <c r="C613" s="19"/>
      <c r="D613" s="10"/>
      <c r="E613" s="8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5"/>
      <c r="B614" s="18"/>
      <c r="C614" s="19"/>
      <c r="D614" s="10"/>
      <c r="E614" s="8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5"/>
      <c r="B615" s="18"/>
      <c r="C615" s="19"/>
      <c r="D615" s="10"/>
      <c r="E615" s="8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5"/>
      <c r="B616" s="18"/>
      <c r="C616" s="19"/>
      <c r="D616" s="10"/>
      <c r="E616" s="8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5"/>
      <c r="B617" s="18"/>
      <c r="C617" s="19"/>
      <c r="D617" s="10"/>
      <c r="E617" s="8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5"/>
      <c r="B618" s="18"/>
      <c r="C618" s="19"/>
      <c r="D618" s="10"/>
      <c r="E618" s="8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5"/>
      <c r="B619" s="18"/>
      <c r="C619" s="19"/>
      <c r="D619" s="10"/>
      <c r="E619" s="8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5"/>
      <c r="B620" s="18"/>
      <c r="C620" s="19"/>
      <c r="D620" s="10"/>
      <c r="E620" s="8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5"/>
      <c r="B621" s="18"/>
      <c r="C621" s="19"/>
      <c r="D621" s="10"/>
      <c r="E621" s="8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5"/>
      <c r="B622" s="18"/>
      <c r="C622" s="19"/>
      <c r="D622" s="10"/>
      <c r="E622" s="8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5"/>
      <c r="B623" s="18"/>
      <c r="C623" s="19"/>
      <c r="D623" s="10"/>
      <c r="E623" s="8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5"/>
      <c r="B624" s="18"/>
      <c r="C624" s="19"/>
      <c r="D624" s="10"/>
      <c r="E624" s="8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5"/>
      <c r="B625" s="18"/>
      <c r="C625" s="19"/>
      <c r="D625" s="10"/>
      <c r="E625" s="8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5"/>
      <c r="B626" s="18"/>
      <c r="C626" s="19"/>
      <c r="D626" s="10"/>
      <c r="E626" s="8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5"/>
      <c r="B627" s="18"/>
      <c r="C627" s="19"/>
      <c r="D627" s="10"/>
      <c r="E627" s="8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5"/>
      <c r="B628" s="18"/>
      <c r="C628" s="19"/>
      <c r="D628" s="10"/>
      <c r="E628" s="8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5"/>
      <c r="B629" s="18"/>
      <c r="C629" s="19"/>
      <c r="D629" s="10"/>
      <c r="E629" s="8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5"/>
      <c r="B630" s="18"/>
      <c r="C630" s="19"/>
      <c r="D630" s="10"/>
      <c r="E630" s="8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5"/>
      <c r="B631" s="18"/>
      <c r="C631" s="19"/>
      <c r="D631" s="10"/>
      <c r="E631" s="8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5"/>
      <c r="B632" s="18"/>
      <c r="C632" s="19"/>
      <c r="D632" s="10"/>
      <c r="E632" s="8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5"/>
      <c r="B633" s="18"/>
      <c r="C633" s="19"/>
      <c r="D633" s="10"/>
      <c r="E633" s="8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5"/>
      <c r="B634" s="18"/>
      <c r="C634" s="19"/>
      <c r="D634" s="10"/>
      <c r="E634" s="8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5"/>
      <c r="B635" s="18"/>
      <c r="C635" s="19"/>
      <c r="D635" s="10"/>
      <c r="E635" s="8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5"/>
      <c r="B636" s="18"/>
      <c r="C636" s="19"/>
      <c r="D636" s="10"/>
      <c r="E636" s="8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5"/>
      <c r="B637" s="18"/>
      <c r="C637" s="19"/>
      <c r="D637" s="10"/>
      <c r="E637" s="8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5"/>
      <c r="B638" s="18"/>
      <c r="C638" s="19"/>
      <c r="D638" s="10"/>
      <c r="E638" s="8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5"/>
      <c r="B639" s="18"/>
      <c r="C639" s="19"/>
      <c r="D639" s="10"/>
      <c r="E639" s="8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5"/>
      <c r="B640" s="18"/>
      <c r="C640" s="19"/>
      <c r="D640" s="10"/>
      <c r="E640" s="8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5"/>
      <c r="B641" s="18"/>
      <c r="C641" s="19"/>
      <c r="D641" s="10"/>
      <c r="E641" s="8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5"/>
      <c r="B642" s="18"/>
      <c r="C642" s="19"/>
      <c r="D642" s="10"/>
      <c r="E642" s="8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5"/>
      <c r="B643" s="18"/>
      <c r="C643" s="19"/>
      <c r="D643" s="10"/>
      <c r="E643" s="8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5"/>
      <c r="B644" s="18"/>
      <c r="C644" s="19"/>
      <c r="D644" s="10"/>
      <c r="E644" s="8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5"/>
      <c r="B645" s="18"/>
      <c r="C645" s="19"/>
      <c r="D645" s="10"/>
      <c r="E645" s="8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5"/>
      <c r="B646" s="18"/>
      <c r="C646" s="19"/>
      <c r="D646" s="10"/>
      <c r="E646" s="8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5"/>
      <c r="B647" s="18"/>
      <c r="C647" s="19"/>
      <c r="D647" s="10"/>
      <c r="E647" s="8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5"/>
      <c r="B648" s="18"/>
      <c r="C648" s="19"/>
      <c r="D648" s="10"/>
      <c r="E648" s="8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5"/>
      <c r="B649" s="18"/>
      <c r="C649" s="19"/>
      <c r="D649" s="10"/>
      <c r="E649" s="8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5"/>
      <c r="B650" s="18"/>
      <c r="C650" s="19"/>
      <c r="D650" s="10"/>
      <c r="E650" s="8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5"/>
      <c r="B651" s="18"/>
      <c r="C651" s="19"/>
      <c r="D651" s="10"/>
      <c r="E651" s="8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5"/>
      <c r="B652" s="18"/>
      <c r="C652" s="19"/>
      <c r="D652" s="10"/>
      <c r="E652" s="8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5"/>
      <c r="B653" s="18"/>
      <c r="C653" s="19"/>
      <c r="D653" s="10"/>
      <c r="E653" s="8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5"/>
      <c r="B654" s="18"/>
      <c r="C654" s="19"/>
      <c r="D654" s="10"/>
      <c r="E654" s="8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5"/>
      <c r="B655" s="18"/>
      <c r="C655" s="19"/>
      <c r="D655" s="10"/>
      <c r="E655" s="8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5"/>
      <c r="B656" s="18"/>
      <c r="C656" s="19"/>
      <c r="D656" s="10"/>
      <c r="E656" s="8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5"/>
      <c r="B657" s="18"/>
      <c r="C657" s="19"/>
      <c r="D657" s="10"/>
      <c r="E657" s="8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5"/>
      <c r="B658" s="18"/>
      <c r="C658" s="19"/>
      <c r="D658" s="10"/>
      <c r="E658" s="8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5"/>
      <c r="B659" s="18"/>
      <c r="C659" s="19"/>
      <c r="D659" s="10"/>
      <c r="E659" s="8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5"/>
      <c r="B660" s="18"/>
      <c r="C660" s="19"/>
      <c r="D660" s="10"/>
      <c r="E660" s="8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5"/>
      <c r="B661" s="18"/>
      <c r="C661" s="19"/>
      <c r="D661" s="10"/>
      <c r="E661" s="8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5"/>
      <c r="B662" s="18"/>
      <c r="C662" s="19"/>
      <c r="D662" s="10"/>
      <c r="E662" s="8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5"/>
      <c r="B663" s="18"/>
      <c r="C663" s="19"/>
      <c r="D663" s="10"/>
      <c r="E663" s="8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5"/>
      <c r="B664" s="18"/>
      <c r="C664" s="19"/>
      <c r="D664" s="10"/>
      <c r="E664" s="8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5"/>
      <c r="B665" s="18"/>
      <c r="C665" s="19"/>
      <c r="D665" s="10"/>
      <c r="E665" s="8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5"/>
      <c r="B666" s="18"/>
      <c r="C666" s="19"/>
      <c r="D666" s="10"/>
      <c r="E666" s="8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5"/>
      <c r="B667" s="18"/>
      <c r="C667" s="19"/>
      <c r="D667" s="10"/>
      <c r="E667" s="8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5"/>
      <c r="B668" s="18"/>
      <c r="C668" s="19"/>
      <c r="D668" s="10"/>
      <c r="E668" s="8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5"/>
      <c r="B669" s="18"/>
      <c r="C669" s="19"/>
      <c r="D669" s="10"/>
      <c r="E669" s="8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5"/>
      <c r="B670" s="18"/>
      <c r="C670" s="19"/>
      <c r="D670" s="10"/>
      <c r="E670" s="8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5"/>
      <c r="B671" s="18"/>
      <c r="C671" s="19"/>
      <c r="D671" s="10"/>
      <c r="E671" s="8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5"/>
      <c r="B672" s="18"/>
      <c r="C672" s="19"/>
      <c r="D672" s="10"/>
      <c r="E672" s="8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5"/>
      <c r="B673" s="18"/>
      <c r="C673" s="19"/>
      <c r="D673" s="10"/>
      <c r="E673" s="8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5"/>
      <c r="B674" s="18"/>
      <c r="C674" s="19"/>
      <c r="D674" s="10"/>
      <c r="E674" s="8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5"/>
      <c r="B675" s="18"/>
      <c r="C675" s="19"/>
      <c r="D675" s="10"/>
      <c r="E675" s="8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5"/>
      <c r="B676" s="18"/>
      <c r="C676" s="19"/>
      <c r="D676" s="10"/>
      <c r="E676" s="8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5"/>
      <c r="B677" s="18"/>
      <c r="C677" s="19"/>
      <c r="D677" s="10"/>
      <c r="E677" s="8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5"/>
      <c r="B678" s="18"/>
      <c r="C678" s="19"/>
      <c r="D678" s="10"/>
      <c r="E678" s="8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5"/>
      <c r="B679" s="18"/>
      <c r="C679" s="19"/>
      <c r="D679" s="10"/>
      <c r="E679" s="8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5"/>
      <c r="B680" s="18"/>
      <c r="C680" s="19"/>
      <c r="D680" s="10"/>
      <c r="E680" s="8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5"/>
      <c r="B681" s="18"/>
      <c r="C681" s="19"/>
      <c r="D681" s="10"/>
      <c r="E681" s="8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5"/>
      <c r="B682" s="18"/>
      <c r="C682" s="19"/>
      <c r="D682" s="10"/>
      <c r="E682" s="8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5"/>
      <c r="B683" s="18"/>
      <c r="C683" s="19"/>
      <c r="D683" s="10"/>
      <c r="E683" s="8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5"/>
      <c r="B684" s="18"/>
      <c r="C684" s="19"/>
      <c r="D684" s="10"/>
      <c r="E684" s="8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5"/>
      <c r="B685" s="18"/>
      <c r="C685" s="19"/>
      <c r="D685" s="10"/>
      <c r="E685" s="8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5"/>
      <c r="B686" s="18"/>
      <c r="C686" s="19"/>
      <c r="D686" s="10"/>
      <c r="E686" s="8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5"/>
      <c r="B687" s="18"/>
      <c r="C687" s="19"/>
      <c r="D687" s="10"/>
      <c r="E687" s="8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5"/>
      <c r="B688" s="18"/>
      <c r="C688" s="19"/>
      <c r="D688" s="10"/>
      <c r="E688" s="8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5"/>
      <c r="B689" s="18"/>
      <c r="C689" s="19"/>
      <c r="D689" s="10"/>
      <c r="E689" s="8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5"/>
      <c r="B690" s="18"/>
      <c r="C690" s="19"/>
      <c r="D690" s="10"/>
      <c r="E690" s="8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5"/>
      <c r="B691" s="18"/>
      <c r="C691" s="19"/>
      <c r="D691" s="10"/>
      <c r="E691" s="8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5"/>
      <c r="B692" s="18"/>
      <c r="C692" s="19"/>
      <c r="D692" s="10"/>
      <c r="E692" s="8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5"/>
      <c r="B693" s="18"/>
      <c r="C693" s="19"/>
      <c r="D693" s="10"/>
      <c r="E693" s="8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5"/>
      <c r="B694" s="18"/>
      <c r="C694" s="19"/>
      <c r="D694" s="10"/>
      <c r="E694" s="8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5"/>
      <c r="B695" s="18"/>
      <c r="C695" s="19"/>
      <c r="D695" s="10"/>
      <c r="E695" s="8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5"/>
      <c r="B696" s="18"/>
      <c r="C696" s="19"/>
      <c r="D696" s="10"/>
      <c r="E696" s="8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5"/>
      <c r="B697" s="18"/>
      <c r="C697" s="19"/>
      <c r="D697" s="10"/>
      <c r="E697" s="8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5"/>
      <c r="B698" s="18"/>
      <c r="C698" s="19"/>
      <c r="D698" s="10"/>
      <c r="E698" s="8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5"/>
      <c r="B699" s="18"/>
      <c r="C699" s="19"/>
      <c r="D699" s="10"/>
      <c r="E699" s="8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5"/>
      <c r="B700" s="18"/>
      <c r="C700" s="19"/>
      <c r="D700" s="10"/>
      <c r="E700" s="8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5"/>
      <c r="B701" s="18"/>
      <c r="C701" s="19"/>
      <c r="D701" s="10"/>
      <c r="E701" s="8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5"/>
      <c r="B702" s="18"/>
      <c r="C702" s="19"/>
      <c r="D702" s="10"/>
      <c r="E702" s="8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5"/>
      <c r="B703" s="18"/>
      <c r="C703" s="19"/>
      <c r="D703" s="10"/>
      <c r="E703" s="8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5"/>
      <c r="B704" s="18"/>
      <c r="C704" s="19"/>
      <c r="D704" s="10"/>
      <c r="E704" s="8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5"/>
      <c r="B705" s="18"/>
      <c r="C705" s="19"/>
      <c r="D705" s="10"/>
      <c r="E705" s="8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5"/>
      <c r="B706" s="18"/>
      <c r="C706" s="19"/>
      <c r="D706" s="10"/>
      <c r="E706" s="8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5"/>
      <c r="B707" s="18"/>
      <c r="C707" s="19"/>
      <c r="D707" s="10"/>
      <c r="E707" s="8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5"/>
      <c r="B708" s="18"/>
      <c r="C708" s="19"/>
      <c r="D708" s="10"/>
      <c r="E708" s="8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5"/>
      <c r="B709" s="18"/>
      <c r="C709" s="19"/>
      <c r="D709" s="10"/>
      <c r="E709" s="8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5"/>
      <c r="B710" s="18"/>
      <c r="C710" s="19"/>
      <c r="D710" s="10"/>
      <c r="E710" s="8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5"/>
      <c r="B711" s="18"/>
      <c r="C711" s="19"/>
      <c r="D711" s="10"/>
      <c r="E711" s="8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5"/>
      <c r="B712" s="18"/>
      <c r="C712" s="19"/>
      <c r="D712" s="10"/>
      <c r="E712" s="8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5"/>
      <c r="B713" s="18"/>
      <c r="C713" s="19"/>
      <c r="D713" s="10"/>
      <c r="E713" s="8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5"/>
      <c r="B714" s="18"/>
      <c r="C714" s="19"/>
      <c r="D714" s="10"/>
      <c r="E714" s="8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5"/>
      <c r="B715" s="18"/>
      <c r="C715" s="19"/>
      <c r="D715" s="10"/>
      <c r="E715" s="8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5"/>
      <c r="B716" s="18"/>
      <c r="C716" s="19"/>
      <c r="D716" s="10"/>
      <c r="E716" s="8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5"/>
      <c r="B717" s="18"/>
      <c r="C717" s="19"/>
      <c r="D717" s="10"/>
      <c r="E717" s="8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5"/>
      <c r="B718" s="18"/>
      <c r="C718" s="19"/>
      <c r="D718" s="10"/>
      <c r="E718" s="8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5"/>
      <c r="B719" s="18"/>
      <c r="C719" s="19"/>
      <c r="D719" s="10"/>
      <c r="E719" s="8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5"/>
      <c r="B720" s="18"/>
      <c r="C720" s="19"/>
      <c r="D720" s="10"/>
      <c r="E720" s="8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5"/>
      <c r="B721" s="18"/>
      <c r="C721" s="19"/>
      <c r="D721" s="10"/>
      <c r="E721" s="8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5"/>
      <c r="B722" s="18"/>
      <c r="C722" s="19"/>
      <c r="D722" s="10"/>
      <c r="E722" s="8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5"/>
      <c r="B723" s="18"/>
      <c r="C723" s="19"/>
      <c r="D723" s="10"/>
      <c r="E723" s="8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5"/>
      <c r="B724" s="18"/>
      <c r="C724" s="19"/>
      <c r="D724" s="10"/>
      <c r="E724" s="8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5"/>
      <c r="B725" s="18"/>
      <c r="C725" s="19"/>
      <c r="D725" s="10"/>
      <c r="E725" s="8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5"/>
      <c r="B726" s="18"/>
      <c r="C726" s="19"/>
      <c r="D726" s="10"/>
      <c r="E726" s="8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5"/>
      <c r="B727" s="18"/>
      <c r="C727" s="19"/>
      <c r="D727" s="10"/>
      <c r="E727" s="8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5"/>
      <c r="B728" s="18"/>
      <c r="C728" s="19"/>
      <c r="D728" s="10"/>
      <c r="E728" s="8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5"/>
      <c r="B729" s="18"/>
      <c r="C729" s="19"/>
      <c r="D729" s="10"/>
      <c r="E729" s="8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5"/>
      <c r="B730" s="18"/>
      <c r="C730" s="19"/>
      <c r="D730" s="10"/>
      <c r="E730" s="8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5"/>
      <c r="B731" s="18"/>
      <c r="C731" s="19"/>
      <c r="D731" s="10"/>
      <c r="E731" s="8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5"/>
      <c r="B732" s="18"/>
      <c r="C732" s="19"/>
      <c r="D732" s="10"/>
      <c r="E732" s="8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5"/>
      <c r="B733" s="18"/>
      <c r="C733" s="19"/>
      <c r="D733" s="10"/>
      <c r="E733" s="8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5"/>
      <c r="B734" s="18"/>
      <c r="C734" s="19"/>
      <c r="D734" s="10"/>
      <c r="E734" s="8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5"/>
      <c r="B735" s="18"/>
      <c r="C735" s="19"/>
      <c r="D735" s="10"/>
      <c r="E735" s="8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5"/>
      <c r="B736" s="18"/>
      <c r="C736" s="19"/>
      <c r="D736" s="10"/>
      <c r="E736" s="8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5"/>
      <c r="B737" s="18"/>
      <c r="C737" s="19"/>
      <c r="D737" s="10"/>
      <c r="E737" s="8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5"/>
      <c r="B738" s="18"/>
      <c r="C738" s="19"/>
      <c r="D738" s="10"/>
      <c r="E738" s="8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5"/>
      <c r="B739" s="18"/>
      <c r="C739" s="19"/>
      <c r="D739" s="10"/>
      <c r="E739" s="8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5"/>
      <c r="B740" s="18"/>
      <c r="C740" s="19"/>
      <c r="D740" s="10"/>
      <c r="E740" s="8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5"/>
      <c r="B741" s="18"/>
      <c r="C741" s="19"/>
      <c r="D741" s="10"/>
      <c r="E741" s="8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5"/>
      <c r="B742" s="18"/>
      <c r="C742" s="19"/>
      <c r="D742" s="10"/>
      <c r="E742" s="8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5"/>
      <c r="B743" s="18"/>
      <c r="C743" s="19"/>
      <c r="D743" s="10"/>
      <c r="E743" s="8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5"/>
      <c r="B744" s="18"/>
      <c r="C744" s="19"/>
      <c r="D744" s="10"/>
      <c r="E744" s="8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5"/>
      <c r="B745" s="18"/>
      <c r="C745" s="19"/>
      <c r="D745" s="10"/>
      <c r="E745" s="8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5"/>
      <c r="B746" s="18"/>
      <c r="C746" s="19"/>
      <c r="D746" s="10"/>
      <c r="E746" s="8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5"/>
      <c r="B747" s="18"/>
      <c r="C747" s="19"/>
      <c r="D747" s="10"/>
      <c r="E747" s="8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5"/>
      <c r="B748" s="18"/>
      <c r="C748" s="19"/>
      <c r="D748" s="10"/>
      <c r="E748" s="8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5"/>
      <c r="B749" s="18"/>
      <c r="C749" s="19"/>
      <c r="D749" s="10"/>
      <c r="E749" s="8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5"/>
      <c r="B750" s="18"/>
      <c r="C750" s="19"/>
      <c r="D750" s="10"/>
      <c r="E750" s="8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5"/>
      <c r="B751" s="18"/>
      <c r="C751" s="19"/>
      <c r="D751" s="10"/>
      <c r="E751" s="8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5"/>
      <c r="B752" s="18"/>
      <c r="C752" s="19"/>
      <c r="D752" s="10"/>
      <c r="E752" s="8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5"/>
      <c r="B753" s="18"/>
      <c r="C753" s="19"/>
      <c r="D753" s="10"/>
      <c r="E753" s="8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5"/>
      <c r="B754" s="18"/>
      <c r="C754" s="19"/>
      <c r="D754" s="10"/>
      <c r="E754" s="8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5"/>
      <c r="B755" s="18"/>
      <c r="C755" s="19"/>
      <c r="D755" s="10"/>
      <c r="E755" s="8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5"/>
      <c r="B756" s="18"/>
      <c r="C756" s="19"/>
      <c r="D756" s="10"/>
      <c r="E756" s="8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5"/>
      <c r="B757" s="18"/>
      <c r="C757" s="19"/>
      <c r="D757" s="10"/>
      <c r="E757" s="8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5"/>
      <c r="B758" s="18"/>
      <c r="C758" s="19"/>
      <c r="D758" s="10"/>
      <c r="E758" s="8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5"/>
      <c r="B759" s="18"/>
      <c r="C759" s="19"/>
      <c r="D759" s="10"/>
      <c r="E759" s="8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5"/>
      <c r="B760" s="18"/>
      <c r="C760" s="19"/>
      <c r="D760" s="10"/>
      <c r="E760" s="8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5"/>
      <c r="B761" s="18"/>
      <c r="C761" s="19"/>
      <c r="D761" s="10"/>
      <c r="E761" s="8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5"/>
      <c r="B762" s="18"/>
      <c r="C762" s="19"/>
      <c r="D762" s="10"/>
      <c r="E762" s="8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5"/>
      <c r="B763" s="18"/>
      <c r="C763" s="19"/>
      <c r="D763" s="10"/>
      <c r="E763" s="8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5"/>
      <c r="B764" s="18"/>
      <c r="C764" s="19"/>
      <c r="D764" s="10"/>
      <c r="E764" s="8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5"/>
      <c r="B765" s="18"/>
      <c r="C765" s="19"/>
      <c r="D765" s="10"/>
      <c r="E765" s="8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5"/>
      <c r="B766" s="18"/>
      <c r="C766" s="19"/>
      <c r="D766" s="10"/>
      <c r="E766" s="8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5"/>
      <c r="B767" s="18"/>
      <c r="C767" s="19"/>
      <c r="D767" s="10"/>
      <c r="E767" s="8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5"/>
      <c r="B768" s="18"/>
      <c r="C768" s="19"/>
      <c r="D768" s="10"/>
      <c r="E768" s="8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5"/>
      <c r="B769" s="18"/>
      <c r="C769" s="19"/>
      <c r="D769" s="10"/>
      <c r="E769" s="8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5"/>
      <c r="B770" s="18"/>
      <c r="C770" s="19"/>
      <c r="D770" s="10"/>
      <c r="E770" s="8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5"/>
      <c r="B771" s="18"/>
      <c r="C771" s="19"/>
      <c r="D771" s="10"/>
      <c r="E771" s="8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5"/>
      <c r="B772" s="18"/>
      <c r="C772" s="19"/>
      <c r="D772" s="10"/>
      <c r="E772" s="8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5"/>
      <c r="B773" s="18"/>
      <c r="C773" s="19"/>
      <c r="D773" s="10"/>
      <c r="E773" s="8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5"/>
      <c r="B774" s="18"/>
      <c r="C774" s="19"/>
      <c r="D774" s="10"/>
      <c r="E774" s="8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5"/>
      <c r="B775" s="18"/>
      <c r="C775" s="19"/>
      <c r="D775" s="10"/>
      <c r="E775" s="8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5"/>
      <c r="B776" s="18"/>
      <c r="C776" s="19"/>
      <c r="D776" s="10"/>
      <c r="E776" s="8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5"/>
      <c r="B777" s="18"/>
      <c r="C777" s="19"/>
      <c r="D777" s="10"/>
      <c r="E777" s="8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5"/>
      <c r="B778" s="18"/>
      <c r="C778" s="19"/>
      <c r="D778" s="10"/>
      <c r="E778" s="8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5"/>
      <c r="B779" s="18"/>
      <c r="C779" s="19"/>
      <c r="D779" s="10"/>
      <c r="E779" s="8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5"/>
      <c r="B780" s="18"/>
      <c r="C780" s="19"/>
      <c r="D780" s="10"/>
      <c r="E780" s="8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5"/>
      <c r="B781" s="18"/>
      <c r="C781" s="19"/>
      <c r="D781" s="10"/>
      <c r="E781" s="8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5"/>
      <c r="B782" s="18"/>
      <c r="C782" s="19"/>
      <c r="D782" s="10"/>
      <c r="E782" s="8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5"/>
      <c r="B783" s="18"/>
      <c r="C783" s="19"/>
      <c r="D783" s="10"/>
      <c r="E783" s="8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5"/>
      <c r="B784" s="18"/>
      <c r="C784" s="19"/>
      <c r="D784" s="10"/>
      <c r="E784" s="8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5"/>
      <c r="B785" s="18"/>
      <c r="C785" s="19"/>
      <c r="D785" s="10"/>
      <c r="E785" s="8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5"/>
      <c r="B786" s="18"/>
      <c r="C786" s="19"/>
      <c r="D786" s="10"/>
      <c r="E786" s="8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5"/>
      <c r="B787" s="18"/>
      <c r="C787" s="19"/>
      <c r="D787" s="10"/>
      <c r="E787" s="8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5"/>
      <c r="B788" s="18"/>
      <c r="C788" s="19"/>
      <c r="D788" s="10"/>
      <c r="E788" s="8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5"/>
      <c r="B789" s="18"/>
      <c r="C789" s="19"/>
      <c r="D789" s="10"/>
      <c r="E789" s="8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5"/>
      <c r="B790" s="18"/>
      <c r="C790" s="19"/>
      <c r="D790" s="10"/>
      <c r="E790" s="8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5"/>
      <c r="B791" s="18"/>
      <c r="C791" s="19"/>
      <c r="D791" s="10"/>
      <c r="E791" s="8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5"/>
      <c r="B792" s="18"/>
      <c r="C792" s="19"/>
      <c r="D792" s="10"/>
      <c r="E792" s="8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5"/>
      <c r="B793" s="18"/>
      <c r="C793" s="19"/>
      <c r="D793" s="10"/>
      <c r="E793" s="8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5"/>
      <c r="B794" s="18"/>
      <c r="C794" s="19"/>
      <c r="D794" s="10"/>
      <c r="E794" s="8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5"/>
      <c r="B795" s="18"/>
      <c r="C795" s="19"/>
      <c r="D795" s="10"/>
      <c r="E795" s="8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5"/>
      <c r="B796" s="18"/>
      <c r="C796" s="19"/>
      <c r="D796" s="10"/>
      <c r="E796" s="8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5"/>
      <c r="B797" s="18"/>
      <c r="C797" s="19"/>
      <c r="D797" s="10"/>
      <c r="E797" s="8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5"/>
      <c r="B798" s="18"/>
      <c r="C798" s="19"/>
      <c r="D798" s="10"/>
      <c r="E798" s="8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5"/>
      <c r="B799" s="18"/>
      <c r="C799" s="19"/>
      <c r="D799" s="10"/>
      <c r="E799" s="8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5"/>
      <c r="B800" s="18"/>
      <c r="C800" s="19"/>
      <c r="D800" s="10"/>
      <c r="E800" s="8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5"/>
      <c r="B801" s="18"/>
      <c r="C801" s="19"/>
      <c r="D801" s="10"/>
      <c r="E801" s="8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5"/>
      <c r="B802" s="18"/>
      <c r="C802" s="19"/>
      <c r="D802" s="10"/>
      <c r="E802" s="8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5"/>
      <c r="B803" s="18"/>
      <c r="C803" s="19"/>
      <c r="D803" s="10"/>
      <c r="E803" s="8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5"/>
      <c r="B804" s="18"/>
      <c r="C804" s="19"/>
      <c r="D804" s="10"/>
      <c r="E804" s="8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5"/>
      <c r="B805" s="18"/>
      <c r="C805" s="19"/>
      <c r="D805" s="10"/>
      <c r="E805" s="8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5"/>
      <c r="B806" s="18"/>
      <c r="C806" s="19"/>
      <c r="D806" s="10"/>
      <c r="E806" s="8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5"/>
      <c r="B807" s="18"/>
      <c r="C807" s="19"/>
      <c r="D807" s="10"/>
      <c r="E807" s="8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5"/>
      <c r="B808" s="18"/>
      <c r="C808" s="19"/>
      <c r="D808" s="10"/>
      <c r="E808" s="8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5"/>
      <c r="B809" s="18"/>
      <c r="C809" s="19"/>
      <c r="D809" s="10"/>
      <c r="E809" s="8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5"/>
      <c r="B810" s="18"/>
      <c r="C810" s="19"/>
      <c r="D810" s="10"/>
      <c r="E810" s="8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5"/>
      <c r="B811" s="18"/>
      <c r="C811" s="19"/>
      <c r="D811" s="10"/>
      <c r="E811" s="8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5"/>
      <c r="B812" s="18"/>
      <c r="C812" s="19"/>
      <c r="D812" s="10"/>
      <c r="E812" s="8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5"/>
      <c r="B813" s="18"/>
      <c r="C813" s="19"/>
      <c r="D813" s="10"/>
      <c r="E813" s="8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5"/>
      <c r="B814" s="18"/>
      <c r="C814" s="19"/>
      <c r="D814" s="10"/>
      <c r="E814" s="8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5"/>
      <c r="B815" s="18"/>
      <c r="C815" s="19"/>
      <c r="D815" s="10"/>
      <c r="E815" s="8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5"/>
      <c r="B816" s="18"/>
      <c r="C816" s="19"/>
      <c r="D816" s="10"/>
      <c r="E816" s="8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5"/>
      <c r="B817" s="18"/>
      <c r="C817" s="19"/>
      <c r="D817" s="10"/>
      <c r="E817" s="8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5"/>
      <c r="B818" s="18"/>
      <c r="C818" s="19"/>
      <c r="D818" s="10"/>
      <c r="E818" s="8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5"/>
      <c r="B819" s="18"/>
      <c r="C819" s="19"/>
      <c r="D819" s="10"/>
      <c r="E819" s="8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5"/>
      <c r="B820" s="18"/>
      <c r="C820" s="19"/>
      <c r="D820" s="10"/>
      <c r="E820" s="8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5"/>
      <c r="B821" s="18"/>
      <c r="C821" s="19"/>
      <c r="D821" s="10"/>
      <c r="E821" s="8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5"/>
      <c r="B822" s="18"/>
      <c r="C822" s="19"/>
      <c r="D822" s="10"/>
      <c r="E822" s="8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5"/>
      <c r="B823" s="18"/>
      <c r="C823" s="19"/>
      <c r="D823" s="10"/>
      <c r="E823" s="8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5"/>
      <c r="B824" s="18"/>
      <c r="C824" s="19"/>
      <c r="D824" s="10"/>
      <c r="E824" s="8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5"/>
      <c r="B825" s="18"/>
      <c r="C825" s="19"/>
      <c r="D825" s="10"/>
      <c r="E825" s="8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5"/>
      <c r="B826" s="18"/>
      <c r="C826" s="19"/>
      <c r="D826" s="10"/>
      <c r="E826" s="8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5"/>
      <c r="B827" s="18"/>
      <c r="C827" s="19"/>
      <c r="D827" s="10"/>
      <c r="E827" s="8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5"/>
      <c r="B828" s="18"/>
      <c r="C828" s="19"/>
      <c r="D828" s="10"/>
      <c r="E828" s="8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5"/>
      <c r="B829" s="18"/>
      <c r="C829" s="19"/>
      <c r="D829" s="10"/>
      <c r="E829" s="8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5"/>
      <c r="B830" s="18"/>
      <c r="C830" s="19"/>
      <c r="D830" s="10"/>
      <c r="E830" s="8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5"/>
      <c r="B831" s="18"/>
      <c r="C831" s="19"/>
      <c r="D831" s="10"/>
      <c r="E831" s="8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5"/>
      <c r="B832" s="18"/>
      <c r="C832" s="19"/>
      <c r="D832" s="10"/>
      <c r="E832" s="8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5"/>
      <c r="B833" s="18"/>
      <c r="C833" s="19"/>
      <c r="D833" s="10"/>
      <c r="E833" s="8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5"/>
      <c r="B834" s="18"/>
      <c r="C834" s="19"/>
      <c r="D834" s="10"/>
      <c r="E834" s="8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5"/>
      <c r="B835" s="18"/>
      <c r="C835" s="19"/>
      <c r="D835" s="10"/>
      <c r="E835" s="8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5"/>
      <c r="B836" s="18"/>
      <c r="C836" s="19"/>
      <c r="D836" s="10"/>
      <c r="E836" s="8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5"/>
      <c r="B837" s="18"/>
      <c r="C837" s="19"/>
      <c r="D837" s="10"/>
      <c r="E837" s="8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5"/>
      <c r="B838" s="18"/>
      <c r="C838" s="19"/>
      <c r="D838" s="10"/>
      <c r="E838" s="8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5"/>
      <c r="B839" s="18"/>
      <c r="C839" s="19"/>
      <c r="D839" s="10"/>
      <c r="E839" s="8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5"/>
      <c r="B840" s="18"/>
      <c r="C840" s="19"/>
      <c r="D840" s="10"/>
      <c r="E840" s="8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5"/>
      <c r="B841" s="18"/>
      <c r="C841" s="19"/>
      <c r="D841" s="10"/>
      <c r="E841" s="8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5"/>
      <c r="B842" s="18"/>
      <c r="C842" s="19"/>
      <c r="D842" s="10"/>
      <c r="E842" s="8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5"/>
      <c r="B843" s="18"/>
      <c r="C843" s="19"/>
      <c r="D843" s="10"/>
      <c r="E843" s="8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5"/>
      <c r="B844" s="18"/>
      <c r="C844" s="19"/>
      <c r="D844" s="10"/>
      <c r="E844" s="8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5"/>
      <c r="B845" s="18"/>
      <c r="C845" s="19"/>
      <c r="D845" s="10"/>
      <c r="E845" s="8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5"/>
      <c r="B846" s="18"/>
      <c r="C846" s="19"/>
      <c r="D846" s="10"/>
      <c r="E846" s="8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5"/>
      <c r="B847" s="18"/>
      <c r="C847" s="19"/>
      <c r="D847" s="10"/>
      <c r="E847" s="8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5"/>
      <c r="B848" s="18"/>
      <c r="C848" s="19"/>
      <c r="D848" s="10"/>
      <c r="E848" s="8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5"/>
      <c r="B849" s="18"/>
      <c r="C849" s="19"/>
      <c r="D849" s="10"/>
      <c r="E849" s="8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5"/>
      <c r="B850" s="18"/>
      <c r="C850" s="19"/>
      <c r="D850" s="10"/>
      <c r="E850" s="8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5"/>
      <c r="B851" s="18"/>
      <c r="C851" s="19"/>
      <c r="D851" s="10"/>
      <c r="E851" s="8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5"/>
      <c r="B852" s="18"/>
      <c r="C852" s="19"/>
      <c r="D852" s="10"/>
      <c r="E852" s="8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5"/>
      <c r="B853" s="18"/>
      <c r="C853" s="19"/>
      <c r="D853" s="10"/>
      <c r="E853" s="8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5"/>
      <c r="B854" s="18"/>
      <c r="C854" s="19"/>
      <c r="D854" s="10"/>
      <c r="E854" s="8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5"/>
      <c r="B855" s="18"/>
      <c r="C855" s="19"/>
      <c r="D855" s="10"/>
      <c r="E855" s="8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5"/>
      <c r="B856" s="18"/>
      <c r="C856" s="19"/>
      <c r="D856" s="10"/>
      <c r="E856" s="8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5"/>
      <c r="B857" s="18"/>
      <c r="C857" s="19"/>
      <c r="D857" s="10"/>
      <c r="E857" s="8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5"/>
      <c r="B858" s="18"/>
      <c r="C858" s="19"/>
      <c r="D858" s="10"/>
      <c r="E858" s="8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5"/>
      <c r="B859" s="18"/>
      <c r="C859" s="19"/>
      <c r="D859" s="10"/>
      <c r="E859" s="8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5"/>
      <c r="B860" s="18"/>
      <c r="C860" s="19"/>
      <c r="D860" s="10"/>
      <c r="E860" s="8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5"/>
      <c r="B861" s="18"/>
      <c r="C861" s="19"/>
      <c r="D861" s="10"/>
      <c r="E861" s="8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5"/>
      <c r="B862" s="18"/>
      <c r="C862" s="19"/>
      <c r="D862" s="10"/>
      <c r="E862" s="8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5"/>
      <c r="B863" s="18"/>
      <c r="C863" s="19"/>
      <c r="D863" s="10"/>
      <c r="E863" s="8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5"/>
      <c r="B864" s="18"/>
      <c r="C864" s="19"/>
      <c r="D864" s="10"/>
      <c r="E864" s="8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5"/>
      <c r="B865" s="18"/>
      <c r="C865" s="19"/>
      <c r="D865" s="10"/>
      <c r="E865" s="8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5"/>
      <c r="B866" s="18"/>
      <c r="C866" s="19"/>
      <c r="D866" s="10"/>
      <c r="E866" s="8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5"/>
      <c r="B867" s="18"/>
      <c r="C867" s="19"/>
      <c r="D867" s="10"/>
      <c r="E867" s="8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5"/>
      <c r="B868" s="18"/>
      <c r="C868" s="19"/>
      <c r="D868" s="10"/>
      <c r="E868" s="8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5"/>
      <c r="B869" s="18"/>
      <c r="C869" s="19"/>
      <c r="D869" s="10"/>
      <c r="E869" s="8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5"/>
      <c r="B870" s="18"/>
      <c r="C870" s="19"/>
      <c r="D870" s="10"/>
      <c r="E870" s="8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5"/>
      <c r="B871" s="18"/>
      <c r="C871" s="19"/>
      <c r="D871" s="10"/>
      <c r="E871" s="8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5"/>
      <c r="B872" s="18"/>
      <c r="C872" s="19"/>
      <c r="D872" s="10"/>
      <c r="E872" s="8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5"/>
      <c r="B873" s="18"/>
      <c r="C873" s="19"/>
      <c r="D873" s="10"/>
      <c r="E873" s="8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5"/>
      <c r="B874" s="18"/>
      <c r="C874" s="19"/>
      <c r="D874" s="10"/>
      <c r="E874" s="8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5"/>
      <c r="B875" s="18"/>
      <c r="C875" s="19"/>
      <c r="D875" s="10"/>
      <c r="E875" s="8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5"/>
      <c r="B876" s="18"/>
      <c r="C876" s="19"/>
      <c r="D876" s="10"/>
      <c r="E876" s="8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5"/>
      <c r="B877" s="18"/>
      <c r="C877" s="19"/>
      <c r="D877" s="10"/>
      <c r="E877" s="8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5"/>
      <c r="B878" s="18"/>
      <c r="C878" s="19"/>
      <c r="D878" s="10"/>
      <c r="E878" s="8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5"/>
      <c r="B879" s="18"/>
      <c r="C879" s="19"/>
      <c r="D879" s="10"/>
      <c r="E879" s="8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5"/>
      <c r="B880" s="18"/>
      <c r="C880" s="19"/>
      <c r="D880" s="10"/>
      <c r="E880" s="8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5"/>
      <c r="B881" s="18"/>
      <c r="C881" s="19"/>
      <c r="D881" s="10"/>
      <c r="E881" s="8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5"/>
      <c r="B882" s="18"/>
      <c r="C882" s="19"/>
      <c r="D882" s="10"/>
      <c r="E882" s="8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5"/>
      <c r="B883" s="18"/>
      <c r="C883" s="19"/>
      <c r="D883" s="10"/>
      <c r="E883" s="8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5"/>
      <c r="B884" s="18"/>
      <c r="C884" s="19"/>
      <c r="D884" s="10"/>
      <c r="E884" s="8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5"/>
      <c r="B885" s="18"/>
      <c r="C885" s="19"/>
      <c r="D885" s="10"/>
      <c r="E885" s="8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5"/>
      <c r="B886" s="18"/>
      <c r="C886" s="19"/>
      <c r="D886" s="10"/>
      <c r="E886" s="8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5"/>
      <c r="B887" s="18"/>
      <c r="C887" s="19"/>
      <c r="D887" s="10"/>
      <c r="E887" s="8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5"/>
      <c r="B888" s="18"/>
      <c r="C888" s="19"/>
      <c r="D888" s="10"/>
      <c r="E888" s="8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5"/>
      <c r="B889" s="18"/>
      <c r="C889" s="19"/>
      <c r="D889" s="10"/>
      <c r="E889" s="8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5"/>
      <c r="B890" s="18"/>
      <c r="C890" s="19"/>
      <c r="D890" s="10"/>
      <c r="E890" s="8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5"/>
      <c r="B891" s="18"/>
      <c r="C891" s="19"/>
      <c r="D891" s="10"/>
      <c r="E891" s="8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5"/>
      <c r="B892" s="18"/>
      <c r="C892" s="19"/>
      <c r="D892" s="10"/>
      <c r="E892" s="8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5"/>
      <c r="B893" s="18"/>
      <c r="C893" s="19"/>
      <c r="D893" s="10"/>
      <c r="E893" s="8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5"/>
      <c r="B894" s="18"/>
      <c r="C894" s="19"/>
      <c r="D894" s="10"/>
      <c r="E894" s="8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5"/>
      <c r="B895" s="18"/>
      <c r="C895" s="19"/>
      <c r="D895" s="10"/>
      <c r="E895" s="8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5"/>
      <c r="B896" s="18"/>
      <c r="C896" s="19"/>
      <c r="D896" s="10"/>
      <c r="E896" s="8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5"/>
      <c r="B897" s="18"/>
      <c r="C897" s="19"/>
      <c r="D897" s="10"/>
      <c r="E897" s="8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5"/>
      <c r="B898" s="18"/>
      <c r="C898" s="19"/>
      <c r="D898" s="10"/>
      <c r="E898" s="8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5"/>
      <c r="B899" s="18"/>
      <c r="C899" s="19"/>
      <c r="D899" s="10"/>
      <c r="E899" s="8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5"/>
      <c r="B900" s="18"/>
      <c r="C900" s="19"/>
      <c r="D900" s="10"/>
      <c r="E900" s="8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5"/>
      <c r="B901" s="18"/>
      <c r="C901" s="19"/>
      <c r="D901" s="10"/>
      <c r="E901" s="8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5"/>
      <c r="B902" s="18"/>
      <c r="C902" s="19"/>
      <c r="D902" s="10"/>
      <c r="E902" s="8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5"/>
      <c r="B903" s="18"/>
      <c r="C903" s="19"/>
      <c r="D903" s="10"/>
      <c r="E903" s="8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5"/>
      <c r="B904" s="18"/>
      <c r="C904" s="19"/>
      <c r="D904" s="10"/>
      <c r="E904" s="8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5"/>
      <c r="B905" s="18"/>
      <c r="C905" s="19"/>
      <c r="D905" s="10"/>
      <c r="E905" s="8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5"/>
      <c r="B906" s="18"/>
      <c r="C906" s="19"/>
      <c r="D906" s="10"/>
      <c r="E906" s="8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5"/>
      <c r="B907" s="18"/>
      <c r="C907" s="19"/>
      <c r="D907" s="10"/>
      <c r="E907" s="8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5"/>
      <c r="B908" s="18"/>
      <c r="C908" s="19"/>
      <c r="D908" s="10"/>
      <c r="E908" s="8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5"/>
      <c r="B909" s="18"/>
      <c r="C909" s="19"/>
      <c r="D909" s="10"/>
      <c r="E909" s="8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5"/>
      <c r="B910" s="18"/>
      <c r="C910" s="19"/>
      <c r="D910" s="10"/>
      <c r="E910" s="8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5"/>
      <c r="B911" s="18"/>
      <c r="C911" s="19"/>
      <c r="D911" s="10"/>
      <c r="E911" s="8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5"/>
      <c r="B912" s="18"/>
      <c r="C912" s="19"/>
      <c r="D912" s="10"/>
      <c r="E912" s="8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5"/>
      <c r="B913" s="18"/>
      <c r="C913" s="19"/>
      <c r="D913" s="10"/>
      <c r="E913" s="8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5"/>
      <c r="B914" s="18"/>
      <c r="C914" s="19"/>
      <c r="D914" s="10"/>
      <c r="E914" s="8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5"/>
      <c r="B915" s="18"/>
      <c r="C915" s="19"/>
      <c r="D915" s="10"/>
      <c r="E915" s="8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5"/>
      <c r="B916" s="18"/>
      <c r="C916" s="19"/>
      <c r="D916" s="10"/>
      <c r="E916" s="8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5"/>
      <c r="B917" s="18"/>
      <c r="C917" s="19"/>
      <c r="D917" s="10"/>
      <c r="E917" s="8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5"/>
      <c r="B918" s="18"/>
      <c r="C918" s="19"/>
      <c r="D918" s="10"/>
      <c r="E918" s="8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5"/>
      <c r="B919" s="18"/>
      <c r="C919" s="19"/>
      <c r="D919" s="10"/>
      <c r="E919" s="8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5"/>
      <c r="B920" s="18"/>
      <c r="C920" s="19"/>
      <c r="D920" s="10"/>
      <c r="E920" s="8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5"/>
      <c r="B921" s="18"/>
      <c r="C921" s="19"/>
      <c r="D921" s="10"/>
      <c r="E921" s="8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5"/>
      <c r="B922" s="18"/>
      <c r="C922" s="19"/>
      <c r="D922" s="10"/>
      <c r="E922" s="8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5"/>
      <c r="B923" s="18"/>
      <c r="C923" s="19"/>
      <c r="D923" s="10"/>
      <c r="E923" s="8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5"/>
      <c r="B924" s="18"/>
      <c r="C924" s="19"/>
      <c r="D924" s="10"/>
      <c r="E924" s="8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5"/>
      <c r="B925" s="18"/>
      <c r="C925" s="19"/>
      <c r="D925" s="10"/>
      <c r="E925" s="8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5"/>
      <c r="B926" s="18"/>
      <c r="C926" s="19"/>
      <c r="D926" s="10"/>
      <c r="E926" s="8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5"/>
      <c r="B927" s="18"/>
      <c r="C927" s="19"/>
      <c r="D927" s="10"/>
      <c r="E927" s="8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5"/>
      <c r="B928" s="18"/>
      <c r="C928" s="19"/>
      <c r="D928" s="10"/>
      <c r="E928" s="8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5"/>
      <c r="B929" s="18"/>
      <c r="C929" s="19"/>
      <c r="D929" s="10"/>
      <c r="E929" s="8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5"/>
      <c r="B930" s="18"/>
      <c r="C930" s="19"/>
      <c r="D930" s="10"/>
      <c r="E930" s="8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5"/>
      <c r="B931" s="18"/>
      <c r="C931" s="19"/>
      <c r="D931" s="10"/>
      <c r="E931" s="8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5"/>
      <c r="B932" s="18"/>
      <c r="C932" s="19"/>
      <c r="D932" s="10"/>
      <c r="E932" s="8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5"/>
      <c r="B933" s="18"/>
      <c r="C933" s="19"/>
      <c r="D933" s="10"/>
      <c r="E933" s="8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5"/>
      <c r="B934" s="18"/>
      <c r="C934" s="19"/>
      <c r="D934" s="10"/>
      <c r="E934" s="8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5"/>
      <c r="B935" s="18"/>
      <c r="C935" s="19"/>
      <c r="D935" s="10"/>
      <c r="E935" s="8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5"/>
      <c r="B936" s="18"/>
      <c r="C936" s="19"/>
      <c r="D936" s="10"/>
      <c r="E936" s="8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5"/>
      <c r="B937" s="18"/>
      <c r="C937" s="19"/>
      <c r="D937" s="10"/>
      <c r="E937" s="8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5"/>
      <c r="B938" s="18"/>
      <c r="C938" s="19"/>
      <c r="D938" s="10"/>
      <c r="E938" s="8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5"/>
      <c r="B939" s="18"/>
      <c r="C939" s="19"/>
      <c r="D939" s="10"/>
      <c r="E939" s="8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5"/>
      <c r="B940" s="18"/>
      <c r="C940" s="19"/>
      <c r="D940" s="10"/>
      <c r="E940" s="8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5"/>
      <c r="B941" s="18"/>
      <c r="C941" s="19"/>
      <c r="D941" s="10"/>
      <c r="E941" s="8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5"/>
      <c r="B942" s="18"/>
      <c r="C942" s="19"/>
      <c r="D942" s="10"/>
      <c r="E942" s="8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5"/>
      <c r="B943" s="18"/>
      <c r="C943" s="19"/>
      <c r="D943" s="10"/>
      <c r="E943" s="8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5"/>
      <c r="B944" s="18"/>
      <c r="C944" s="19"/>
      <c r="D944" s="10"/>
      <c r="E944" s="8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5"/>
      <c r="B945" s="18"/>
      <c r="C945" s="19"/>
      <c r="D945" s="10"/>
      <c r="E945" s="8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5"/>
      <c r="B946" s="18"/>
      <c r="C946" s="19"/>
      <c r="D946" s="10"/>
      <c r="E946" s="8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5"/>
      <c r="B947" s="18"/>
      <c r="C947" s="19"/>
      <c r="D947" s="10"/>
      <c r="E947" s="8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5"/>
      <c r="B948" s="18"/>
      <c r="C948" s="19"/>
      <c r="D948" s="10"/>
      <c r="E948" s="8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5"/>
      <c r="B949" s="18"/>
      <c r="C949" s="19"/>
      <c r="D949" s="10"/>
      <c r="E949" s="8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5"/>
      <c r="B950" s="18"/>
      <c r="C950" s="19"/>
      <c r="D950" s="10"/>
      <c r="E950" s="8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5"/>
      <c r="B951" s="18"/>
      <c r="C951" s="19"/>
      <c r="D951" s="10"/>
      <c r="E951" s="8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5"/>
      <c r="B952" s="18"/>
      <c r="C952" s="19"/>
      <c r="D952" s="10"/>
      <c r="E952" s="8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5"/>
      <c r="B953" s="18"/>
      <c r="C953" s="19"/>
      <c r="D953" s="10"/>
      <c r="E953" s="8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5"/>
      <c r="B954" s="18"/>
      <c r="C954" s="19"/>
      <c r="D954" s="10"/>
      <c r="E954" s="8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5"/>
      <c r="B955" s="18"/>
      <c r="C955" s="19"/>
      <c r="D955" s="10"/>
      <c r="E955" s="8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5"/>
      <c r="B956" s="18"/>
      <c r="C956" s="19"/>
      <c r="D956" s="10"/>
      <c r="E956" s="8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5"/>
      <c r="B957" s="18"/>
      <c r="C957" s="19"/>
      <c r="D957" s="10"/>
      <c r="E957" s="8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5"/>
      <c r="B958" s="18"/>
      <c r="C958" s="19"/>
      <c r="D958" s="10"/>
      <c r="E958" s="8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5"/>
      <c r="B959" s="18"/>
      <c r="C959" s="19"/>
      <c r="D959" s="10"/>
      <c r="E959" s="8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5"/>
      <c r="B960" s="18"/>
      <c r="C960" s="19"/>
      <c r="D960" s="10"/>
      <c r="E960" s="8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5"/>
      <c r="B961" s="18"/>
      <c r="C961" s="19"/>
      <c r="D961" s="10"/>
      <c r="E961" s="8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5"/>
      <c r="B962" s="18"/>
      <c r="C962" s="19"/>
      <c r="D962" s="10"/>
      <c r="E962" s="8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5"/>
      <c r="B963" s="18"/>
      <c r="C963" s="19"/>
      <c r="D963" s="10"/>
      <c r="E963" s="8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5"/>
      <c r="B964" s="18"/>
      <c r="C964" s="19"/>
      <c r="D964" s="10"/>
      <c r="E964" s="8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5"/>
      <c r="B965" s="18"/>
      <c r="C965" s="19"/>
      <c r="D965" s="10"/>
      <c r="E965" s="8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5"/>
      <c r="B966" s="18"/>
      <c r="C966" s="19"/>
      <c r="D966" s="10"/>
      <c r="E966" s="8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5"/>
      <c r="B967" s="18"/>
      <c r="C967" s="19"/>
      <c r="D967" s="10"/>
      <c r="E967" s="8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5"/>
      <c r="B968" s="18"/>
      <c r="C968" s="19"/>
      <c r="D968" s="10"/>
      <c r="E968" s="8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5"/>
      <c r="B969" s="18"/>
      <c r="C969" s="19"/>
      <c r="D969" s="10"/>
      <c r="E969" s="8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5"/>
      <c r="B970" s="18"/>
      <c r="C970" s="19"/>
      <c r="D970" s="10"/>
      <c r="E970" s="8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5"/>
      <c r="B971" s="18"/>
      <c r="C971" s="19"/>
      <c r="D971" s="10"/>
      <c r="E971" s="8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5"/>
      <c r="B972" s="18"/>
      <c r="C972" s="19"/>
      <c r="D972" s="10"/>
      <c r="E972" s="8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5"/>
      <c r="B973" s="18"/>
      <c r="C973" s="19"/>
      <c r="D973" s="10"/>
      <c r="E973" s="8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5"/>
      <c r="B974" s="18"/>
      <c r="C974" s="19"/>
      <c r="D974" s="10"/>
      <c r="E974" s="8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5"/>
      <c r="B975" s="18"/>
      <c r="C975" s="19"/>
      <c r="D975" s="10"/>
      <c r="E975" s="8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5"/>
      <c r="B976" s="18"/>
      <c r="C976" s="19"/>
      <c r="D976" s="10"/>
      <c r="E976" s="8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5"/>
      <c r="B977" s="18"/>
      <c r="C977" s="19"/>
      <c r="D977" s="10"/>
      <c r="E977" s="8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5"/>
      <c r="B978" s="18"/>
      <c r="C978" s="19"/>
      <c r="D978" s="10"/>
      <c r="E978" s="8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5"/>
      <c r="B979" s="18"/>
      <c r="C979" s="19"/>
      <c r="D979" s="10"/>
      <c r="E979" s="8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5"/>
      <c r="B980" s="18"/>
      <c r="C980" s="19"/>
      <c r="D980" s="10"/>
      <c r="E980" s="8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5"/>
      <c r="B981" s="18"/>
      <c r="C981" s="19"/>
      <c r="D981" s="10"/>
      <c r="E981" s="8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5"/>
      <c r="B982" s="18"/>
      <c r="C982" s="19"/>
      <c r="D982" s="10"/>
      <c r="E982" s="8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5"/>
      <c r="B983" s="18"/>
      <c r="C983" s="19"/>
      <c r="D983" s="10"/>
      <c r="E983" s="8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5"/>
      <c r="B984" s="18"/>
      <c r="C984" s="19"/>
      <c r="D984" s="10"/>
      <c r="E984" s="8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5"/>
      <c r="B985" s="18"/>
      <c r="C985" s="19"/>
      <c r="D985" s="10"/>
      <c r="E985" s="8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5"/>
      <c r="B986" s="18"/>
      <c r="C986" s="19"/>
      <c r="D986" s="10"/>
      <c r="E986" s="8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5"/>
      <c r="B987" s="18"/>
      <c r="C987" s="19"/>
      <c r="D987" s="10"/>
      <c r="E987" s="8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5"/>
      <c r="B988" s="18"/>
      <c r="C988" s="19"/>
      <c r="D988" s="10"/>
      <c r="E988" s="8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5"/>
      <c r="B989" s="18"/>
      <c r="C989" s="19"/>
      <c r="D989" s="10"/>
      <c r="E989" s="8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5"/>
      <c r="B990" s="18"/>
      <c r="C990" s="19"/>
      <c r="D990" s="10"/>
      <c r="E990" s="8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5"/>
      <c r="B991" s="18"/>
      <c r="C991" s="19"/>
      <c r="D991" s="10"/>
      <c r="E991" s="8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5"/>
      <c r="B992" s="18"/>
      <c r="C992" s="19"/>
      <c r="D992" s="10"/>
      <c r="E992" s="8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5"/>
      <c r="B993" s="18"/>
      <c r="C993" s="19"/>
      <c r="D993" s="10"/>
      <c r="E993" s="8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5"/>
      <c r="B994" s="18"/>
      <c r="C994" s="19"/>
      <c r="D994" s="10"/>
      <c r="E994" s="8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5"/>
      <c r="B995" s="18"/>
      <c r="C995" s="19"/>
      <c r="D995" s="10"/>
      <c r="E995" s="8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5"/>
      <c r="B996" s="18"/>
      <c r="C996" s="19"/>
      <c r="D996" s="10"/>
      <c r="E996" s="8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5"/>
      <c r="B997" s="18"/>
      <c r="C997" s="19"/>
      <c r="D997" s="10"/>
      <c r="E997" s="8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5"/>
      <c r="B998" s="18"/>
      <c r="C998" s="19"/>
      <c r="D998" s="10"/>
      <c r="E998" s="8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5"/>
      <c r="B999" s="18"/>
      <c r="C999" s="19"/>
      <c r="D999" s="10"/>
      <c r="E999" s="8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5"/>
      <c r="B1000" s="18"/>
      <c r="C1000" s="19"/>
      <c r="D1000" s="10"/>
      <c r="E1000" s="8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5"/>
      <c r="B1001" s="18"/>
      <c r="C1001" s="19"/>
      <c r="D1001" s="10"/>
      <c r="E1001" s="8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5"/>
      <c r="B1002" s="18"/>
      <c r="C1002" s="19"/>
      <c r="D1002" s="10"/>
      <c r="E1002" s="8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>
      <c r="A1003" s="5"/>
      <c r="B1003" s="18"/>
      <c r="C1003" s="19"/>
      <c r="D1003" s="10"/>
      <c r="E1003" s="8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>
      <c r="A1004" s="5"/>
      <c r="B1004" s="18"/>
      <c r="C1004" s="19"/>
      <c r="D1004" s="10"/>
      <c r="E1004" s="8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25"/>
      <c r="B1" s="26" t="s">
        <v>22</v>
      </c>
      <c r="C1" s="26" t="s">
        <v>23</v>
      </c>
      <c r="D1" s="26" t="s">
        <v>24</v>
      </c>
      <c r="E1" s="26" t="s">
        <v>25</v>
      </c>
      <c r="F1" s="26" t="s">
        <v>26</v>
      </c>
      <c r="G1" s="26" t="s">
        <v>27</v>
      </c>
      <c r="H1" s="26" t="s">
        <v>28</v>
      </c>
      <c r="I1" s="26" t="s">
        <v>29</v>
      </c>
      <c r="J1" s="26" t="s">
        <v>30</v>
      </c>
      <c r="K1" s="26" t="s">
        <v>31</v>
      </c>
      <c r="L1" s="26" t="s">
        <v>32</v>
      </c>
      <c r="M1" s="26" t="s">
        <v>33</v>
      </c>
      <c r="N1" s="26" t="s">
        <v>22</v>
      </c>
      <c r="O1" s="26" t="s">
        <v>23</v>
      </c>
      <c r="P1" s="26" t="s">
        <v>24</v>
      </c>
      <c r="Q1" s="26" t="s">
        <v>25</v>
      </c>
      <c r="R1" s="26" t="s">
        <v>26</v>
      </c>
      <c r="S1" s="26" t="s">
        <v>27</v>
      </c>
      <c r="T1" s="26" t="s">
        <v>28</v>
      </c>
      <c r="U1" s="26" t="s">
        <v>29</v>
      </c>
      <c r="V1" s="26" t="s">
        <v>30</v>
      </c>
      <c r="W1" s="26" t="s">
        <v>31</v>
      </c>
      <c r="X1" s="25"/>
      <c r="Y1" s="25"/>
      <c r="Z1" s="25"/>
    </row>
    <row r="2">
      <c r="A2" s="27" t="s">
        <v>34</v>
      </c>
      <c r="B2" s="28">
        <v>1300000.0</v>
      </c>
      <c r="C2" s="29"/>
      <c r="D2" s="29"/>
      <c r="E2" s="29"/>
      <c r="F2" s="29"/>
      <c r="G2" s="29"/>
      <c r="H2" s="29"/>
      <c r="I2" s="29"/>
      <c r="J2" s="28">
        <f>'Historical Growth'!C7</f>
        <v>1546700</v>
      </c>
      <c r="K2" s="28">
        <f>'Historical Growth'!C7</f>
        <v>1546700</v>
      </c>
      <c r="L2" s="29">
        <f t="shared" ref="L2:W2" si="1">K2+($K2/12)</f>
        <v>1675591.667</v>
      </c>
      <c r="M2" s="29">
        <f t="shared" si="1"/>
        <v>1804483.333</v>
      </c>
      <c r="N2" s="29">
        <f t="shared" si="1"/>
        <v>1933375</v>
      </c>
      <c r="O2" s="29">
        <f t="shared" si="1"/>
        <v>2062266.667</v>
      </c>
      <c r="P2" s="29">
        <f t="shared" si="1"/>
        <v>2191158.333</v>
      </c>
      <c r="Q2" s="29">
        <f t="shared" si="1"/>
        <v>2320050</v>
      </c>
      <c r="R2" s="29">
        <f t="shared" si="1"/>
        <v>2448941.667</v>
      </c>
      <c r="S2" s="29">
        <f t="shared" si="1"/>
        <v>2577833.333</v>
      </c>
      <c r="T2" s="29">
        <f t="shared" si="1"/>
        <v>2706725</v>
      </c>
      <c r="U2" s="29">
        <f t="shared" si="1"/>
        <v>2835616.667</v>
      </c>
      <c r="V2" s="29">
        <f t="shared" si="1"/>
        <v>2964508.333</v>
      </c>
      <c r="W2" s="29">
        <f t="shared" si="1"/>
        <v>3093400</v>
      </c>
      <c r="X2" s="29"/>
      <c r="Y2" s="29"/>
      <c r="Z2" s="29"/>
    </row>
    <row r="3">
      <c r="A3" s="26" t="s">
        <v>35</v>
      </c>
      <c r="J3" s="29">
        <f>'Historical Growth'!C5</f>
        <v>384000</v>
      </c>
      <c r="K3" s="29">
        <f>'Historical Growth'!C5</f>
        <v>384000</v>
      </c>
      <c r="L3" s="29">
        <f t="shared" ref="L3:W3" si="2">K3+($K3/12)</f>
        <v>416000</v>
      </c>
      <c r="M3" s="29">
        <f t="shared" si="2"/>
        <v>448000</v>
      </c>
      <c r="N3" s="29">
        <f t="shared" si="2"/>
        <v>480000</v>
      </c>
      <c r="O3" s="29">
        <f t="shared" si="2"/>
        <v>512000</v>
      </c>
      <c r="P3" s="29">
        <f t="shared" si="2"/>
        <v>544000</v>
      </c>
      <c r="Q3" s="29">
        <f t="shared" si="2"/>
        <v>576000</v>
      </c>
      <c r="R3" s="29">
        <f t="shared" si="2"/>
        <v>608000</v>
      </c>
      <c r="S3" s="29">
        <f t="shared" si="2"/>
        <v>640000</v>
      </c>
      <c r="T3" s="29">
        <f t="shared" si="2"/>
        <v>672000</v>
      </c>
      <c r="U3" s="29">
        <f t="shared" si="2"/>
        <v>704000</v>
      </c>
      <c r="V3" s="29">
        <f t="shared" si="2"/>
        <v>736000</v>
      </c>
      <c r="W3" s="29">
        <f t="shared" si="2"/>
        <v>768000</v>
      </c>
    </row>
    <row r="4">
      <c r="A4" s="26" t="s">
        <v>36</v>
      </c>
      <c r="J4" s="29">
        <f>'Historical Growth'!C4</f>
        <v>572700</v>
      </c>
      <c r="K4" s="29">
        <f>'Historical Growth'!C4</f>
        <v>572700</v>
      </c>
      <c r="L4" s="29">
        <f t="shared" ref="L4:W4" si="3">K4+($K4/12)</f>
        <v>620425</v>
      </c>
      <c r="M4" s="29">
        <f t="shared" si="3"/>
        <v>668150</v>
      </c>
      <c r="N4" s="29">
        <f t="shared" si="3"/>
        <v>715875</v>
      </c>
      <c r="O4" s="29">
        <f t="shared" si="3"/>
        <v>763600</v>
      </c>
      <c r="P4" s="29">
        <f t="shared" si="3"/>
        <v>811325</v>
      </c>
      <c r="Q4" s="29">
        <f t="shared" si="3"/>
        <v>859050</v>
      </c>
      <c r="R4" s="29">
        <f t="shared" si="3"/>
        <v>906775</v>
      </c>
      <c r="S4" s="29">
        <f t="shared" si="3"/>
        <v>954500</v>
      </c>
      <c r="T4" s="29">
        <f t="shared" si="3"/>
        <v>1002225</v>
      </c>
      <c r="U4" s="29">
        <f t="shared" si="3"/>
        <v>1049950</v>
      </c>
      <c r="V4" s="29">
        <f t="shared" si="3"/>
        <v>1097675</v>
      </c>
      <c r="W4" s="29">
        <f t="shared" si="3"/>
        <v>1145400</v>
      </c>
    </row>
    <row r="5">
      <c r="A5" s="26" t="s">
        <v>37</v>
      </c>
      <c r="J5" s="29">
        <f>'Historical Growth'!C6</f>
        <v>590000</v>
      </c>
      <c r="K5" s="29">
        <f>'Historical Growth'!C6</f>
        <v>590000</v>
      </c>
      <c r="L5" s="29">
        <f t="shared" ref="L5:W5" si="4">K5+($K5/12)</f>
        <v>639166.6667</v>
      </c>
      <c r="M5" s="29">
        <f t="shared" si="4"/>
        <v>688333.3333</v>
      </c>
      <c r="N5" s="29">
        <f t="shared" si="4"/>
        <v>737500</v>
      </c>
      <c r="O5" s="29">
        <f t="shared" si="4"/>
        <v>786666.6667</v>
      </c>
      <c r="P5" s="29">
        <f t="shared" si="4"/>
        <v>835833.3333</v>
      </c>
      <c r="Q5" s="29">
        <f t="shared" si="4"/>
        <v>885000</v>
      </c>
      <c r="R5" s="29">
        <f t="shared" si="4"/>
        <v>934166.6667</v>
      </c>
      <c r="S5" s="29">
        <f t="shared" si="4"/>
        <v>983333.3333</v>
      </c>
      <c r="T5" s="29">
        <f t="shared" si="4"/>
        <v>1032500</v>
      </c>
      <c r="U5" s="29">
        <f t="shared" si="4"/>
        <v>1081666.667</v>
      </c>
      <c r="V5" s="29">
        <f t="shared" si="4"/>
        <v>1130833.333</v>
      </c>
      <c r="W5" s="29">
        <f t="shared" si="4"/>
        <v>1180000</v>
      </c>
    </row>
    <row r="6">
      <c r="A6" s="26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</row>
    <row r="7">
      <c r="A7" s="26" t="s">
        <v>38</v>
      </c>
      <c r="J7" s="30">
        <f>(J2-$B2)/B2</f>
        <v>0.1897692308</v>
      </c>
      <c r="K7" s="30">
        <f t="shared" ref="K7:W7" si="5">(K2-J2)/J2</f>
        <v>0</v>
      </c>
      <c r="L7" s="30">
        <f t="shared" si="5"/>
        <v>0.08333333333</v>
      </c>
      <c r="M7" s="30">
        <f t="shared" si="5"/>
        <v>0.07692307692</v>
      </c>
      <c r="N7" s="30">
        <f t="shared" si="5"/>
        <v>0.07142857143</v>
      </c>
      <c r="O7" s="30">
        <f t="shared" si="5"/>
        <v>0.06666666667</v>
      </c>
      <c r="P7" s="30">
        <f t="shared" si="5"/>
        <v>0.0625</v>
      </c>
      <c r="Q7" s="30">
        <f t="shared" si="5"/>
        <v>0.05882352941</v>
      </c>
      <c r="R7" s="30">
        <f t="shared" si="5"/>
        <v>0.05555555556</v>
      </c>
      <c r="S7" s="30">
        <f t="shared" si="5"/>
        <v>0.05263157895</v>
      </c>
      <c r="T7" s="30">
        <f t="shared" si="5"/>
        <v>0.05</v>
      </c>
      <c r="U7" s="30">
        <f t="shared" si="5"/>
        <v>0.04761904762</v>
      </c>
      <c r="V7" s="30">
        <f t="shared" si="5"/>
        <v>0.04545454545</v>
      </c>
      <c r="W7" s="30">
        <f t="shared" si="5"/>
        <v>0.04347826087</v>
      </c>
    </row>
    <row r="8">
      <c r="A8" s="26" t="s">
        <v>39</v>
      </c>
      <c r="K8" s="29">
        <f t="shared" ref="K8:W8" si="6">K2-J2</f>
        <v>0</v>
      </c>
      <c r="L8" s="29">
        <f t="shared" si="6"/>
        <v>128891.6667</v>
      </c>
      <c r="M8" s="29">
        <f t="shared" si="6"/>
        <v>128891.6667</v>
      </c>
      <c r="N8" s="29">
        <f t="shared" si="6"/>
        <v>128891.6667</v>
      </c>
      <c r="O8" s="29">
        <f t="shared" si="6"/>
        <v>128891.6667</v>
      </c>
      <c r="P8" s="29">
        <f t="shared" si="6"/>
        <v>128891.6667</v>
      </c>
      <c r="Q8" s="29">
        <f t="shared" si="6"/>
        <v>128891.6667</v>
      </c>
      <c r="R8" s="29">
        <f t="shared" si="6"/>
        <v>128891.6667</v>
      </c>
      <c r="S8" s="29">
        <f t="shared" si="6"/>
        <v>128891.6667</v>
      </c>
      <c r="T8" s="29">
        <f t="shared" si="6"/>
        <v>128891.6667</v>
      </c>
      <c r="U8" s="29">
        <f t="shared" si="6"/>
        <v>128891.6667</v>
      </c>
      <c r="V8" s="29">
        <f t="shared" si="6"/>
        <v>128891.6667</v>
      </c>
      <c r="W8" s="29">
        <f t="shared" si="6"/>
        <v>128891.6667</v>
      </c>
    </row>
    <row r="9">
      <c r="A9" s="25"/>
    </row>
    <row r="10">
      <c r="A10" s="25"/>
      <c r="K10" s="31">
        <f t="shared" ref="K10:W10" si="7">K2/J2-1</f>
        <v>0</v>
      </c>
      <c r="L10" s="30">
        <f t="shared" si="7"/>
        <v>0.08333333333</v>
      </c>
      <c r="M10" s="30">
        <f t="shared" si="7"/>
        <v>0.07692307692</v>
      </c>
      <c r="N10" s="30">
        <f t="shared" si="7"/>
        <v>0.07142857143</v>
      </c>
      <c r="O10" s="30">
        <f t="shared" si="7"/>
        <v>0.06666666667</v>
      </c>
      <c r="P10" s="30">
        <f t="shared" si="7"/>
        <v>0.0625</v>
      </c>
      <c r="Q10" s="30">
        <f t="shared" si="7"/>
        <v>0.05882352941</v>
      </c>
      <c r="R10" s="30">
        <f t="shared" si="7"/>
        <v>0.05555555556</v>
      </c>
      <c r="S10" s="30">
        <f t="shared" si="7"/>
        <v>0.05263157895</v>
      </c>
      <c r="T10" s="30">
        <f t="shared" si="7"/>
        <v>0.05</v>
      </c>
      <c r="U10" s="30">
        <f t="shared" si="7"/>
        <v>0.04761904762</v>
      </c>
      <c r="V10" s="30">
        <f t="shared" si="7"/>
        <v>0.04545454545</v>
      </c>
      <c r="W10" s="30">
        <f t="shared" si="7"/>
        <v>0.04347826087</v>
      </c>
    </row>
    <row r="11">
      <c r="A11" s="25"/>
    </row>
    <row r="12">
      <c r="A12" s="25"/>
    </row>
    <row r="13">
      <c r="A13" s="25"/>
    </row>
    <row r="14">
      <c r="A14" s="25"/>
    </row>
    <row r="15">
      <c r="A15" s="25"/>
    </row>
    <row r="16">
      <c r="A16" s="25"/>
    </row>
    <row r="17">
      <c r="A17" s="25"/>
    </row>
    <row r="18">
      <c r="A18" s="25"/>
    </row>
    <row r="19">
      <c r="A19" s="25"/>
    </row>
    <row r="20">
      <c r="A20" s="25"/>
    </row>
    <row r="21">
      <c r="A21" s="25"/>
    </row>
    <row r="22">
      <c r="A22" s="25"/>
    </row>
    <row r="23">
      <c r="A23" s="25"/>
    </row>
    <row r="24">
      <c r="A24" s="25"/>
    </row>
    <row r="25">
      <c r="A25" s="25"/>
    </row>
    <row r="26">
      <c r="A26" s="25"/>
    </row>
    <row r="27">
      <c r="A27" s="25"/>
    </row>
    <row r="28">
      <c r="A28" s="25"/>
    </row>
    <row r="29">
      <c r="A29" s="25"/>
    </row>
    <row r="30">
      <c r="A30" s="25"/>
    </row>
    <row r="31">
      <c r="A31" s="25"/>
    </row>
    <row r="32">
      <c r="A32" s="25"/>
    </row>
    <row r="33">
      <c r="A33" s="25"/>
    </row>
    <row r="34">
      <c r="A34" s="25"/>
    </row>
    <row r="35">
      <c r="A35" s="25"/>
    </row>
    <row r="36">
      <c r="A36" s="25"/>
    </row>
    <row r="37">
      <c r="A37" s="25"/>
    </row>
    <row r="38">
      <c r="A38" s="25"/>
    </row>
    <row r="39">
      <c r="A39" s="25"/>
    </row>
    <row r="40">
      <c r="A40" s="25"/>
    </row>
    <row r="41">
      <c r="A41" s="25"/>
    </row>
    <row r="42">
      <c r="A42" s="25"/>
    </row>
    <row r="43">
      <c r="A43" s="25"/>
    </row>
    <row r="44">
      <c r="A44" s="25"/>
    </row>
    <row r="45">
      <c r="A45" s="25"/>
    </row>
    <row r="46">
      <c r="A46" s="25"/>
    </row>
    <row r="47">
      <c r="A47" s="25"/>
    </row>
    <row r="48">
      <c r="A48" s="25"/>
    </row>
    <row r="49">
      <c r="A49" s="25"/>
    </row>
    <row r="50">
      <c r="A50" s="25"/>
    </row>
    <row r="51">
      <c r="A51" s="25"/>
    </row>
    <row r="52">
      <c r="A52" s="25"/>
    </row>
    <row r="53">
      <c r="A53" s="25"/>
    </row>
    <row r="54">
      <c r="A54" s="25"/>
    </row>
    <row r="55">
      <c r="A55" s="25"/>
    </row>
    <row r="56">
      <c r="A56" s="25"/>
    </row>
    <row r="57">
      <c r="A57" s="25"/>
    </row>
    <row r="58">
      <c r="A58" s="25"/>
    </row>
    <row r="59">
      <c r="A59" s="25"/>
    </row>
    <row r="60">
      <c r="A60" s="25"/>
    </row>
    <row r="61">
      <c r="A61" s="25"/>
    </row>
    <row r="62">
      <c r="A62" s="25"/>
    </row>
    <row r="63">
      <c r="A63" s="25"/>
    </row>
    <row r="64">
      <c r="A64" s="25"/>
    </row>
    <row r="65">
      <c r="A65" s="25"/>
    </row>
    <row r="66">
      <c r="A66" s="25"/>
    </row>
    <row r="67">
      <c r="A67" s="25"/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  <row r="1001">
      <c r="A1001" s="2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26" t="s">
        <v>40</v>
      </c>
      <c r="B1" s="29"/>
      <c r="C1" s="29"/>
    </row>
    <row r="2">
      <c r="B2" s="32">
        <v>45957.0</v>
      </c>
      <c r="C2" s="32">
        <v>45987.0</v>
      </c>
      <c r="D2" s="26"/>
      <c r="E2" s="26"/>
    </row>
    <row r="3">
      <c r="A3" s="25"/>
      <c r="B3" s="26" t="s">
        <v>41</v>
      </c>
      <c r="C3" s="26" t="s">
        <v>42</v>
      </c>
      <c r="D3" s="26" t="s">
        <v>43</v>
      </c>
      <c r="E3" s="26" t="s">
        <v>44</v>
      </c>
      <c r="F3" s="26" t="s">
        <v>45</v>
      </c>
      <c r="G3" s="25"/>
      <c r="H3" s="25"/>
      <c r="I3" s="25"/>
      <c r="J3" s="25"/>
      <c r="K3" s="26"/>
      <c r="T3" s="25"/>
      <c r="U3" s="25"/>
      <c r="V3" s="25"/>
      <c r="W3" s="25"/>
      <c r="X3" s="25"/>
      <c r="Y3" s="25"/>
      <c r="Z3" s="25"/>
      <c r="AA3" s="25"/>
    </row>
    <row r="4">
      <c r="A4" s="33" t="s">
        <v>36</v>
      </c>
      <c r="B4" s="28">
        <v>563100.0</v>
      </c>
      <c r="C4" s="28">
        <v>572700.0</v>
      </c>
      <c r="D4" s="30">
        <f t="shared" ref="D4:D5" si="1">(C4-B4)/B4</f>
        <v>0.01704848162</v>
      </c>
      <c r="E4" s="34">
        <v>0.05946</v>
      </c>
      <c r="F4" s="29">
        <f t="shared" ref="F4:F7" si="2">C4*2</f>
        <v>1145400</v>
      </c>
      <c r="K4" s="28"/>
      <c r="L4" s="25"/>
    </row>
    <row r="5">
      <c r="A5" s="33" t="s">
        <v>46</v>
      </c>
      <c r="B5" s="28">
        <v>376870.0</v>
      </c>
      <c r="C5" s="28">
        <v>384000.0</v>
      </c>
      <c r="D5" s="30">
        <f t="shared" si="1"/>
        <v>0.01891899063</v>
      </c>
      <c r="E5" s="34">
        <v>0.05946</v>
      </c>
      <c r="F5" s="29">
        <f t="shared" si="2"/>
        <v>768000</v>
      </c>
      <c r="J5" s="28"/>
      <c r="K5" s="28"/>
    </row>
    <row r="6">
      <c r="A6" s="33" t="s">
        <v>37</v>
      </c>
      <c r="C6" s="28">
        <v>590000.0</v>
      </c>
      <c r="E6" s="34">
        <v>0.05946</v>
      </c>
      <c r="F6" s="29">
        <f t="shared" si="2"/>
        <v>1180000</v>
      </c>
      <c r="G6" s="33" t="s">
        <v>47</v>
      </c>
      <c r="K6" s="28"/>
    </row>
    <row r="7">
      <c r="A7" s="26" t="s">
        <v>48</v>
      </c>
      <c r="C7" s="35">
        <f>SUM(C4:C6)</f>
        <v>1546700</v>
      </c>
      <c r="F7" s="35">
        <f t="shared" si="2"/>
        <v>3093400</v>
      </c>
      <c r="K7" s="28"/>
    </row>
    <row r="8">
      <c r="C8" s="29"/>
      <c r="K8" s="29"/>
      <c r="L8" s="29"/>
    </row>
    <row r="9">
      <c r="A9" s="33" t="s">
        <v>49</v>
      </c>
      <c r="B9" s="28">
        <v>22800.0</v>
      </c>
      <c r="C9" s="28">
        <v>22773.0</v>
      </c>
      <c r="D9" s="30">
        <f t="shared" ref="D9:D10" si="3">(C9-B9)/B9</f>
        <v>-0.001184210526</v>
      </c>
      <c r="E9" s="29">
        <f>C9-B9</f>
        <v>-27</v>
      </c>
    </row>
    <row r="10">
      <c r="A10" s="33" t="s">
        <v>50</v>
      </c>
      <c r="B10" s="28">
        <v>378000.0</v>
      </c>
      <c r="C10" s="28">
        <v>381000.0</v>
      </c>
      <c r="D10" s="30">
        <f t="shared" si="3"/>
        <v>0.007936507937</v>
      </c>
      <c r="E10" s="34">
        <v>0.05946</v>
      </c>
      <c r="G10" s="33" t="s">
        <v>51</v>
      </c>
    </row>
    <row r="11">
      <c r="B11" s="29"/>
      <c r="C11" s="29"/>
    </row>
    <row r="12">
      <c r="A12" s="26"/>
      <c r="B12" s="29"/>
      <c r="C12" s="29"/>
    </row>
    <row r="13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R13" s="28"/>
    </row>
    <row r="14">
      <c r="A14" s="26" t="s">
        <v>52</v>
      </c>
      <c r="G14" s="27"/>
      <c r="H14" s="27"/>
      <c r="I14" s="27"/>
      <c r="J14" s="27"/>
      <c r="K14" s="27"/>
      <c r="L14" s="27"/>
      <c r="M14" s="27"/>
      <c r="R14" s="28"/>
    </row>
    <row r="15">
      <c r="G15" s="29"/>
      <c r="H15" s="29"/>
      <c r="I15" s="29"/>
      <c r="J15" s="29"/>
      <c r="K15" s="29"/>
      <c r="L15" s="29"/>
      <c r="M15" s="29"/>
      <c r="P15" s="29"/>
    </row>
    <row r="16">
      <c r="A16" s="36"/>
      <c r="B16" s="37">
        <v>45748.0</v>
      </c>
      <c r="C16" s="37">
        <v>45987.0</v>
      </c>
      <c r="D16" s="38" t="s">
        <v>53</v>
      </c>
      <c r="E16" s="38" t="s">
        <v>54</v>
      </c>
      <c r="F16" s="36"/>
      <c r="G16" s="39"/>
      <c r="H16" s="39"/>
      <c r="I16" s="39"/>
      <c r="J16" s="39"/>
      <c r="K16" s="39"/>
      <c r="L16" s="39"/>
      <c r="M16" s="39"/>
      <c r="N16" s="40"/>
      <c r="O16" s="40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33" t="s">
        <v>36</v>
      </c>
      <c r="B17" s="28">
        <v>505485.0</v>
      </c>
      <c r="C17" s="28">
        <v>572700.0</v>
      </c>
      <c r="D17" s="30">
        <f t="shared" ref="D17:D20" si="4">(C17-B17)/B17</f>
        <v>0.1329713048</v>
      </c>
      <c r="E17" s="30">
        <f t="shared" ref="E17:E21" si="5">(C17/B17)^(1/8)-1</f>
        <v>0.01572785789</v>
      </c>
      <c r="M17" s="28"/>
      <c r="N17" s="28"/>
    </row>
    <row r="18">
      <c r="A18" s="33" t="s">
        <v>46</v>
      </c>
      <c r="B18" s="28">
        <v>343394.0</v>
      </c>
      <c r="C18" s="28">
        <v>384000.0</v>
      </c>
      <c r="D18" s="30">
        <f t="shared" si="4"/>
        <v>0.1182490084</v>
      </c>
      <c r="E18" s="30">
        <f t="shared" si="5"/>
        <v>0.01406855319</v>
      </c>
      <c r="N18" s="28"/>
    </row>
    <row r="19">
      <c r="A19" s="33" t="s">
        <v>37</v>
      </c>
      <c r="B19" s="28">
        <v>544095.0</v>
      </c>
      <c r="C19" s="28">
        <v>590000.0</v>
      </c>
      <c r="D19" s="30">
        <f t="shared" si="4"/>
        <v>0.08436945754</v>
      </c>
      <c r="E19" s="30">
        <f t="shared" si="5"/>
        <v>0.01017626368</v>
      </c>
      <c r="N19" s="28"/>
    </row>
    <row r="20">
      <c r="A20" s="33" t="s">
        <v>50</v>
      </c>
      <c r="B20" s="28">
        <v>358877.0</v>
      </c>
      <c r="C20" s="28">
        <v>381000.0</v>
      </c>
      <c r="D20" s="30">
        <f t="shared" si="4"/>
        <v>0.06164507617</v>
      </c>
      <c r="E20" s="30">
        <f t="shared" si="5"/>
        <v>0.007505483966</v>
      </c>
      <c r="N20" s="28"/>
    </row>
    <row r="21">
      <c r="B21" s="35">
        <f t="shared" ref="B21:C21" si="6">SUM(B17:B20)</f>
        <v>1751851</v>
      </c>
      <c r="C21" s="35">
        <f t="shared" si="6"/>
        <v>1927700</v>
      </c>
      <c r="D21" s="30"/>
      <c r="E21" s="30">
        <f t="shared" si="5"/>
        <v>0.01202859855</v>
      </c>
      <c r="N21" s="28"/>
    </row>
    <row r="22">
      <c r="B22" s="35"/>
      <c r="C22" s="29"/>
      <c r="E22" s="30"/>
      <c r="N22" s="28"/>
    </row>
    <row r="23">
      <c r="B23" s="29"/>
      <c r="C23" s="29"/>
      <c r="N23" s="28"/>
    </row>
    <row r="24">
      <c r="B24" s="29"/>
      <c r="C24" s="29"/>
      <c r="N24" s="28"/>
    </row>
    <row r="25">
      <c r="B25" s="29"/>
      <c r="C25" s="29"/>
    </row>
    <row r="26">
      <c r="B26" s="29"/>
      <c r="C26" s="29"/>
    </row>
    <row r="27">
      <c r="B27" s="29"/>
      <c r="C27" s="29"/>
    </row>
    <row r="28">
      <c r="B28" s="29"/>
      <c r="C28" s="29"/>
    </row>
    <row r="29">
      <c r="B29" s="29"/>
      <c r="C29" s="29"/>
    </row>
    <row r="30">
      <c r="B30" s="29"/>
      <c r="C30" s="29"/>
    </row>
    <row r="31">
      <c r="B31" s="29"/>
      <c r="C31" s="29"/>
    </row>
    <row r="32">
      <c r="B32" s="29"/>
      <c r="C32" s="29"/>
    </row>
    <row r="33">
      <c r="B33" s="29"/>
      <c r="C33" s="29"/>
    </row>
    <row r="34">
      <c r="B34" s="29"/>
      <c r="C34" s="29"/>
    </row>
    <row r="35">
      <c r="B35" s="29"/>
      <c r="C35" s="29"/>
    </row>
    <row r="36">
      <c r="B36" s="29"/>
      <c r="C36" s="29"/>
    </row>
    <row r="37">
      <c r="B37" s="29"/>
      <c r="C37" s="29"/>
    </row>
    <row r="38">
      <c r="B38" s="29"/>
      <c r="C38" s="29"/>
    </row>
    <row r="39">
      <c r="B39" s="29"/>
      <c r="C39" s="29"/>
    </row>
    <row r="40">
      <c r="A40" s="26"/>
    </row>
    <row r="41">
      <c r="B41" s="27"/>
      <c r="C41" s="27"/>
    </row>
    <row r="42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</row>
    <row r="43"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>
      <c r="B45" s="29"/>
      <c r="C45" s="29"/>
    </row>
    <row r="46">
      <c r="B46" s="29"/>
      <c r="C46" s="29"/>
    </row>
    <row r="47">
      <c r="B47" s="29"/>
      <c r="C47" s="29"/>
    </row>
    <row r="48">
      <c r="B48" s="29"/>
      <c r="C48" s="29"/>
    </row>
    <row r="49">
      <c r="B49" s="29"/>
      <c r="C49" s="29"/>
    </row>
    <row r="50">
      <c r="B50" s="29"/>
      <c r="C50" s="29"/>
    </row>
    <row r="51">
      <c r="B51" s="29"/>
      <c r="C51" s="29"/>
    </row>
    <row r="52">
      <c r="B52" s="29"/>
      <c r="C52" s="29"/>
    </row>
    <row r="53">
      <c r="B53" s="29"/>
      <c r="C53" s="29"/>
    </row>
    <row r="54">
      <c r="B54" s="29"/>
      <c r="C54" s="29"/>
    </row>
    <row r="55">
      <c r="B55" s="29"/>
      <c r="C55" s="29"/>
    </row>
    <row r="56">
      <c r="B56" s="29"/>
      <c r="C56" s="29"/>
    </row>
    <row r="57">
      <c r="B57" s="29"/>
      <c r="C57" s="29"/>
    </row>
    <row r="58">
      <c r="B58" s="29"/>
      <c r="C58" s="29"/>
    </row>
    <row r="59">
      <c r="B59" s="29"/>
      <c r="C59" s="29"/>
    </row>
    <row r="60">
      <c r="B60" s="29"/>
      <c r="C60" s="29"/>
    </row>
    <row r="61">
      <c r="B61" s="29"/>
      <c r="C61" s="29"/>
    </row>
    <row r="62">
      <c r="B62" s="29"/>
      <c r="C62" s="29"/>
    </row>
    <row r="63">
      <c r="B63" s="29"/>
      <c r="C63" s="29"/>
    </row>
    <row r="64">
      <c r="B64" s="29"/>
      <c r="C64" s="29"/>
    </row>
    <row r="65">
      <c r="B65" s="29"/>
      <c r="C65" s="29"/>
    </row>
    <row r="66">
      <c r="B66" s="29"/>
      <c r="C66" s="29"/>
    </row>
    <row r="67">
      <c r="B67" s="29"/>
      <c r="C67" s="29"/>
    </row>
    <row r="68">
      <c r="B68" s="29"/>
      <c r="C68" s="29"/>
    </row>
    <row r="70">
      <c r="B70" s="27"/>
      <c r="C70" s="27"/>
    </row>
    <row r="71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</row>
    <row r="72"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</row>
    <row r="73"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>
      <c r="B74" s="29"/>
      <c r="C74" s="29"/>
    </row>
    <row r="75">
      <c r="A75" s="26"/>
    </row>
    <row r="76">
      <c r="B76" s="27"/>
      <c r="C76" s="27"/>
    </row>
    <row r="77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</row>
    <row r="78"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</row>
    <row r="79"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</row>
    <row r="80">
      <c r="B80" s="29"/>
      <c r="C80" s="29"/>
    </row>
    <row r="81">
      <c r="B81" s="29"/>
      <c r="C81" s="29"/>
    </row>
    <row r="82">
      <c r="B82" s="29"/>
      <c r="C82" s="29"/>
    </row>
    <row r="83">
      <c r="B83" s="29"/>
      <c r="C83" s="29"/>
    </row>
    <row r="84">
      <c r="B84" s="29"/>
      <c r="C84" s="29"/>
    </row>
    <row r="85">
      <c r="B85" s="29"/>
      <c r="C85" s="29"/>
    </row>
    <row r="86">
      <c r="B86" s="29"/>
      <c r="C86" s="29"/>
    </row>
    <row r="87">
      <c r="B87" s="29"/>
      <c r="C87" s="29"/>
    </row>
    <row r="88">
      <c r="B88" s="29"/>
      <c r="C88" s="29"/>
    </row>
    <row r="89">
      <c r="B89" s="29"/>
      <c r="C89" s="29"/>
    </row>
    <row r="90">
      <c r="B90" s="29"/>
      <c r="C90" s="29"/>
    </row>
    <row r="91">
      <c r="B91" s="29"/>
      <c r="C91" s="29"/>
    </row>
    <row r="92">
      <c r="B92" s="29"/>
      <c r="C92" s="29"/>
    </row>
    <row r="93">
      <c r="B93" s="29"/>
      <c r="C93" s="29"/>
    </row>
    <row r="94">
      <c r="B94" s="29"/>
      <c r="C94" s="29"/>
    </row>
    <row r="95">
      <c r="B95" s="29"/>
      <c r="C95" s="29"/>
    </row>
    <row r="96">
      <c r="B96" s="29"/>
      <c r="C96" s="29"/>
    </row>
    <row r="97">
      <c r="B97" s="29"/>
      <c r="C97" s="29"/>
    </row>
    <row r="98">
      <c r="B98" s="29"/>
      <c r="C98" s="29"/>
    </row>
    <row r="99">
      <c r="B99" s="29"/>
      <c r="C99" s="29"/>
    </row>
    <row r="100">
      <c r="B100" s="29"/>
      <c r="C100" s="29"/>
    </row>
    <row r="101">
      <c r="B101" s="29"/>
      <c r="C101" s="29"/>
    </row>
    <row r="102">
      <c r="B102" s="29"/>
      <c r="C102" s="29"/>
    </row>
    <row r="103">
      <c r="B103" s="29"/>
      <c r="C103" s="29"/>
    </row>
    <row r="104">
      <c r="B104" s="29"/>
      <c r="C104" s="29"/>
    </row>
    <row r="105">
      <c r="B105" s="29"/>
      <c r="C105" s="29"/>
    </row>
    <row r="106">
      <c r="B106" s="29"/>
      <c r="C106" s="29"/>
    </row>
    <row r="107">
      <c r="B107" s="29"/>
      <c r="C107" s="29"/>
    </row>
    <row r="108">
      <c r="B108" s="29"/>
      <c r="C108" s="29"/>
    </row>
    <row r="109">
      <c r="B109" s="29"/>
      <c r="C109" s="29"/>
    </row>
    <row r="110">
      <c r="B110" s="29"/>
      <c r="C110" s="29"/>
    </row>
    <row r="111">
      <c r="B111" s="29"/>
      <c r="C111" s="29"/>
    </row>
    <row r="112">
      <c r="B112" s="29"/>
      <c r="C112" s="29"/>
    </row>
    <row r="113">
      <c r="B113" s="29"/>
      <c r="C113" s="29"/>
    </row>
    <row r="114">
      <c r="B114" s="29"/>
      <c r="C114" s="29"/>
    </row>
    <row r="115">
      <c r="B115" s="29"/>
      <c r="C115" s="29"/>
    </row>
    <row r="116">
      <c r="B116" s="29"/>
      <c r="C116" s="29"/>
    </row>
    <row r="117">
      <c r="B117" s="29"/>
      <c r="C117" s="29"/>
    </row>
    <row r="118">
      <c r="B118" s="29"/>
      <c r="C118" s="29"/>
    </row>
    <row r="119">
      <c r="B119" s="29"/>
      <c r="C119" s="29"/>
    </row>
    <row r="120">
      <c r="B120" s="29"/>
      <c r="C120" s="29"/>
    </row>
    <row r="121">
      <c r="B121" s="29"/>
      <c r="C121" s="29"/>
    </row>
    <row r="122">
      <c r="B122" s="29"/>
      <c r="C122" s="29"/>
    </row>
    <row r="123">
      <c r="B123" s="29"/>
      <c r="C123" s="29"/>
    </row>
    <row r="124">
      <c r="B124" s="29"/>
      <c r="C124" s="29"/>
    </row>
    <row r="125">
      <c r="B125" s="29"/>
      <c r="C125" s="29"/>
    </row>
    <row r="126">
      <c r="B126" s="29"/>
      <c r="C126" s="29"/>
    </row>
    <row r="127">
      <c r="B127" s="29"/>
      <c r="C127" s="29"/>
    </row>
    <row r="128">
      <c r="B128" s="29"/>
      <c r="C128" s="29"/>
    </row>
    <row r="129">
      <c r="B129" s="29"/>
      <c r="C129" s="29"/>
    </row>
    <row r="130">
      <c r="B130" s="29"/>
      <c r="C130" s="29"/>
    </row>
    <row r="131">
      <c r="B131" s="29"/>
      <c r="C131" s="29"/>
    </row>
    <row r="132">
      <c r="B132" s="29"/>
      <c r="C132" s="29"/>
    </row>
    <row r="133">
      <c r="B133" s="29"/>
      <c r="C133" s="29"/>
    </row>
    <row r="134">
      <c r="B134" s="29"/>
      <c r="C134" s="29"/>
    </row>
    <row r="135">
      <c r="B135" s="29"/>
      <c r="C135" s="29"/>
    </row>
    <row r="136">
      <c r="B136" s="29"/>
      <c r="C136" s="29"/>
    </row>
    <row r="137">
      <c r="B137" s="29"/>
      <c r="C137" s="29"/>
    </row>
    <row r="138">
      <c r="B138" s="29"/>
      <c r="C138" s="29"/>
    </row>
    <row r="139">
      <c r="B139" s="29"/>
      <c r="C139" s="29"/>
    </row>
    <row r="140">
      <c r="B140" s="29"/>
      <c r="C140" s="29"/>
    </row>
    <row r="141">
      <c r="B141" s="29"/>
      <c r="C141" s="29"/>
    </row>
    <row r="142">
      <c r="B142" s="29"/>
      <c r="C142" s="29"/>
    </row>
    <row r="143">
      <c r="B143" s="29"/>
      <c r="C143" s="29"/>
    </row>
    <row r="144">
      <c r="B144" s="29"/>
      <c r="C144" s="29"/>
    </row>
    <row r="145">
      <c r="B145" s="29"/>
      <c r="C145" s="29"/>
    </row>
    <row r="146">
      <c r="B146" s="29"/>
      <c r="C146" s="29"/>
    </row>
    <row r="147">
      <c r="B147" s="29"/>
      <c r="C147" s="29"/>
    </row>
    <row r="148">
      <c r="B148" s="29"/>
      <c r="C148" s="29"/>
    </row>
    <row r="149">
      <c r="B149" s="29"/>
      <c r="C149" s="29"/>
    </row>
    <row r="150">
      <c r="B150" s="29"/>
      <c r="C150" s="29"/>
    </row>
    <row r="151">
      <c r="B151" s="29"/>
      <c r="C151" s="29"/>
    </row>
    <row r="152">
      <c r="B152" s="29"/>
      <c r="C152" s="29"/>
    </row>
    <row r="153">
      <c r="B153" s="29"/>
      <c r="C153" s="29"/>
    </row>
    <row r="154">
      <c r="B154" s="29"/>
      <c r="C154" s="29"/>
    </row>
    <row r="155">
      <c r="B155" s="29"/>
      <c r="C155" s="29"/>
    </row>
    <row r="156">
      <c r="B156" s="29"/>
      <c r="C156" s="29"/>
    </row>
    <row r="157">
      <c r="B157" s="29"/>
      <c r="C157" s="29"/>
    </row>
    <row r="158">
      <c r="B158" s="29"/>
      <c r="C158" s="29"/>
    </row>
    <row r="159">
      <c r="B159" s="29"/>
      <c r="C159" s="29"/>
    </row>
    <row r="160">
      <c r="B160" s="29"/>
      <c r="C160" s="29"/>
    </row>
    <row r="161">
      <c r="B161" s="29"/>
      <c r="C161" s="29"/>
    </row>
    <row r="162">
      <c r="B162" s="29"/>
      <c r="C162" s="29"/>
    </row>
    <row r="163">
      <c r="B163" s="29"/>
      <c r="C163" s="29"/>
    </row>
    <row r="164">
      <c r="B164" s="29"/>
      <c r="C164" s="29"/>
    </row>
    <row r="165">
      <c r="B165" s="29"/>
      <c r="C165" s="29"/>
    </row>
    <row r="166">
      <c r="B166" s="29"/>
      <c r="C166" s="29"/>
    </row>
    <row r="167">
      <c r="B167" s="29"/>
      <c r="C167" s="29"/>
    </row>
    <row r="168">
      <c r="B168" s="29"/>
      <c r="C168" s="29"/>
    </row>
    <row r="169">
      <c r="B169" s="29"/>
      <c r="C169" s="29"/>
    </row>
    <row r="170">
      <c r="B170" s="29"/>
      <c r="C170" s="29"/>
    </row>
    <row r="171">
      <c r="B171" s="29"/>
      <c r="C171" s="29"/>
    </row>
    <row r="172">
      <c r="B172" s="29"/>
      <c r="C172" s="29"/>
    </row>
    <row r="173">
      <c r="B173" s="29"/>
      <c r="C173" s="29"/>
    </row>
    <row r="174">
      <c r="B174" s="29"/>
      <c r="C174" s="29"/>
    </row>
    <row r="175">
      <c r="B175" s="29"/>
      <c r="C175" s="29"/>
    </row>
    <row r="176">
      <c r="B176" s="29"/>
      <c r="C176" s="29"/>
    </row>
    <row r="177">
      <c r="B177" s="29"/>
      <c r="C177" s="29"/>
    </row>
    <row r="178">
      <c r="B178" s="29"/>
      <c r="C178" s="29"/>
    </row>
    <row r="179">
      <c r="B179" s="29"/>
      <c r="C179" s="29"/>
    </row>
    <row r="180">
      <c r="B180" s="29"/>
      <c r="C180" s="29"/>
    </row>
    <row r="181">
      <c r="B181" s="29"/>
      <c r="C181" s="29"/>
    </row>
    <row r="182">
      <c r="B182" s="29"/>
      <c r="C182" s="29"/>
    </row>
    <row r="183">
      <c r="B183" s="29"/>
      <c r="C183" s="29"/>
    </row>
    <row r="184">
      <c r="B184" s="29"/>
      <c r="C184" s="29"/>
    </row>
    <row r="185">
      <c r="B185" s="29"/>
      <c r="C185" s="29"/>
    </row>
    <row r="186">
      <c r="B186" s="29"/>
      <c r="C186" s="29"/>
    </row>
    <row r="187">
      <c r="B187" s="29"/>
      <c r="C187" s="29"/>
    </row>
    <row r="188">
      <c r="B188" s="29"/>
      <c r="C188" s="29"/>
    </row>
    <row r="189">
      <c r="B189" s="29"/>
      <c r="C189" s="29"/>
    </row>
    <row r="190">
      <c r="B190" s="29"/>
      <c r="C190" s="29"/>
    </row>
    <row r="191">
      <c r="B191" s="29"/>
      <c r="C191" s="29"/>
    </row>
    <row r="192">
      <c r="B192" s="29"/>
      <c r="C192" s="29"/>
    </row>
    <row r="193">
      <c r="B193" s="29"/>
      <c r="C193" s="29"/>
    </row>
    <row r="194">
      <c r="B194" s="29"/>
      <c r="C194" s="29"/>
    </row>
    <row r="195">
      <c r="B195" s="29"/>
      <c r="C195" s="29"/>
    </row>
    <row r="196">
      <c r="B196" s="29"/>
      <c r="C196" s="29"/>
    </row>
    <row r="197">
      <c r="B197" s="29"/>
      <c r="C197" s="29"/>
    </row>
    <row r="198">
      <c r="B198" s="29"/>
      <c r="C198" s="29"/>
    </row>
    <row r="199">
      <c r="B199" s="29"/>
      <c r="C199" s="29"/>
    </row>
    <row r="200">
      <c r="B200" s="29"/>
      <c r="C200" s="29"/>
    </row>
    <row r="201">
      <c r="B201" s="29"/>
      <c r="C201" s="29"/>
    </row>
    <row r="202">
      <c r="B202" s="29"/>
      <c r="C202" s="29"/>
    </row>
    <row r="203">
      <c r="B203" s="29"/>
      <c r="C203" s="29"/>
    </row>
    <row r="204">
      <c r="B204" s="29"/>
      <c r="C204" s="29"/>
    </row>
    <row r="205">
      <c r="B205" s="29"/>
      <c r="C205" s="29"/>
    </row>
    <row r="206">
      <c r="B206" s="29"/>
      <c r="C206" s="29"/>
    </row>
    <row r="207">
      <c r="B207" s="29"/>
      <c r="C207" s="29"/>
    </row>
    <row r="208">
      <c r="B208" s="29"/>
      <c r="C208" s="29"/>
    </row>
    <row r="209">
      <c r="B209" s="29"/>
      <c r="C209" s="29"/>
    </row>
    <row r="210">
      <c r="B210" s="29"/>
      <c r="C210" s="29"/>
    </row>
    <row r="211">
      <c r="B211" s="29"/>
      <c r="C211" s="29"/>
    </row>
    <row r="212">
      <c r="B212" s="29"/>
      <c r="C212" s="29"/>
    </row>
    <row r="213">
      <c r="B213" s="29"/>
      <c r="C213" s="29"/>
    </row>
    <row r="214">
      <c r="B214" s="29"/>
      <c r="C214" s="29"/>
    </row>
    <row r="215">
      <c r="B215" s="29"/>
      <c r="C215" s="29"/>
    </row>
    <row r="216">
      <c r="B216" s="29"/>
      <c r="C216" s="29"/>
    </row>
    <row r="217">
      <c r="B217" s="29"/>
      <c r="C217" s="29"/>
    </row>
    <row r="218">
      <c r="B218" s="29"/>
      <c r="C218" s="29"/>
    </row>
    <row r="219">
      <c r="B219" s="29"/>
      <c r="C219" s="29"/>
    </row>
    <row r="220">
      <c r="B220" s="29"/>
      <c r="C220" s="29"/>
    </row>
    <row r="221">
      <c r="B221" s="29"/>
      <c r="C221" s="29"/>
    </row>
    <row r="222">
      <c r="B222" s="29"/>
      <c r="C222" s="29"/>
    </row>
    <row r="223">
      <c r="B223" s="29"/>
      <c r="C223" s="29"/>
    </row>
    <row r="224">
      <c r="B224" s="29"/>
      <c r="C224" s="29"/>
    </row>
    <row r="225">
      <c r="B225" s="29"/>
      <c r="C225" s="29"/>
    </row>
    <row r="226">
      <c r="B226" s="29"/>
      <c r="C226" s="29"/>
    </row>
    <row r="227">
      <c r="B227" s="29"/>
      <c r="C227" s="29"/>
    </row>
    <row r="228">
      <c r="B228" s="29"/>
      <c r="C228" s="29"/>
    </row>
    <row r="229">
      <c r="B229" s="29"/>
      <c r="C229" s="29"/>
    </row>
    <row r="230">
      <c r="B230" s="29"/>
      <c r="C230" s="29"/>
    </row>
    <row r="231">
      <c r="B231" s="29"/>
      <c r="C231" s="29"/>
    </row>
    <row r="232">
      <c r="B232" s="29"/>
      <c r="C232" s="29"/>
    </row>
    <row r="233">
      <c r="B233" s="29"/>
      <c r="C233" s="29"/>
    </row>
    <row r="234">
      <c r="B234" s="29"/>
      <c r="C234" s="29"/>
    </row>
    <row r="235">
      <c r="B235" s="29"/>
      <c r="C235" s="29"/>
    </row>
    <row r="236">
      <c r="B236" s="29"/>
      <c r="C236" s="29"/>
    </row>
    <row r="237">
      <c r="B237" s="29"/>
      <c r="C237" s="29"/>
    </row>
    <row r="238">
      <c r="B238" s="29"/>
      <c r="C238" s="29"/>
    </row>
    <row r="239">
      <c r="B239" s="29"/>
      <c r="C239" s="29"/>
    </row>
    <row r="240">
      <c r="B240" s="29"/>
      <c r="C240" s="29"/>
    </row>
    <row r="241">
      <c r="B241" s="29"/>
      <c r="C241" s="29"/>
    </row>
    <row r="242">
      <c r="B242" s="29"/>
      <c r="C242" s="29"/>
    </row>
    <row r="243">
      <c r="B243" s="29"/>
      <c r="C243" s="29"/>
    </row>
    <row r="244">
      <c r="B244" s="29"/>
      <c r="C244" s="29"/>
    </row>
    <row r="245">
      <c r="B245" s="29"/>
      <c r="C245" s="29"/>
    </row>
    <row r="246">
      <c r="B246" s="29"/>
      <c r="C246" s="29"/>
    </row>
    <row r="247">
      <c r="B247" s="29"/>
      <c r="C247" s="29"/>
    </row>
    <row r="248">
      <c r="B248" s="29"/>
      <c r="C248" s="29"/>
    </row>
    <row r="249">
      <c r="B249" s="29"/>
      <c r="C249" s="29"/>
    </row>
    <row r="250">
      <c r="B250" s="29"/>
      <c r="C250" s="29"/>
    </row>
    <row r="251">
      <c r="B251" s="29"/>
      <c r="C251" s="29"/>
    </row>
    <row r="252">
      <c r="B252" s="29"/>
      <c r="C252" s="29"/>
    </row>
    <row r="253">
      <c r="B253" s="29"/>
      <c r="C253" s="29"/>
    </row>
    <row r="254">
      <c r="B254" s="29"/>
      <c r="C254" s="29"/>
    </row>
    <row r="255">
      <c r="B255" s="29"/>
      <c r="C255" s="29"/>
    </row>
    <row r="256">
      <c r="B256" s="29"/>
      <c r="C256" s="29"/>
    </row>
    <row r="257">
      <c r="B257" s="29"/>
      <c r="C257" s="29"/>
    </row>
    <row r="258">
      <c r="B258" s="29"/>
      <c r="C258" s="29"/>
    </row>
    <row r="259">
      <c r="B259" s="29"/>
      <c r="C259" s="29"/>
    </row>
    <row r="260">
      <c r="B260" s="29"/>
      <c r="C260" s="29"/>
    </row>
    <row r="261">
      <c r="B261" s="29"/>
      <c r="C261" s="29"/>
    </row>
    <row r="262">
      <c r="B262" s="29"/>
      <c r="C262" s="29"/>
    </row>
    <row r="263">
      <c r="B263" s="29"/>
      <c r="C263" s="29"/>
    </row>
    <row r="264">
      <c r="B264" s="29"/>
      <c r="C264" s="29"/>
    </row>
    <row r="265">
      <c r="B265" s="29"/>
      <c r="C265" s="29"/>
    </row>
    <row r="266">
      <c r="B266" s="29"/>
      <c r="C266" s="29"/>
    </row>
    <row r="267">
      <c r="B267" s="29"/>
      <c r="C267" s="29"/>
    </row>
    <row r="268">
      <c r="B268" s="29"/>
      <c r="C268" s="29"/>
    </row>
    <row r="269">
      <c r="B269" s="29"/>
      <c r="C269" s="29"/>
    </row>
    <row r="270">
      <c r="B270" s="29"/>
      <c r="C270" s="29"/>
    </row>
    <row r="271">
      <c r="B271" s="29"/>
      <c r="C271" s="29"/>
    </row>
    <row r="272">
      <c r="B272" s="29"/>
      <c r="C272" s="29"/>
    </row>
    <row r="273">
      <c r="B273" s="29"/>
      <c r="C273" s="29"/>
    </row>
    <row r="274">
      <c r="B274" s="29"/>
      <c r="C274" s="29"/>
    </row>
    <row r="275">
      <c r="B275" s="29"/>
      <c r="C275" s="29"/>
    </row>
    <row r="276">
      <c r="B276" s="29"/>
      <c r="C276" s="29"/>
    </row>
    <row r="277">
      <c r="B277" s="29"/>
      <c r="C277" s="29"/>
    </row>
    <row r="278">
      <c r="B278" s="29"/>
      <c r="C278" s="29"/>
    </row>
    <row r="279">
      <c r="B279" s="29"/>
      <c r="C279" s="29"/>
    </row>
    <row r="280">
      <c r="B280" s="29"/>
      <c r="C280" s="29"/>
    </row>
    <row r="281">
      <c r="B281" s="29"/>
      <c r="C281" s="29"/>
    </row>
    <row r="282">
      <c r="B282" s="29"/>
      <c r="C282" s="29"/>
    </row>
    <row r="283">
      <c r="B283" s="29"/>
      <c r="C283" s="29"/>
    </row>
    <row r="284">
      <c r="B284" s="29"/>
      <c r="C284" s="29"/>
    </row>
    <row r="285">
      <c r="B285" s="29"/>
      <c r="C285" s="29"/>
    </row>
    <row r="286">
      <c r="B286" s="29"/>
      <c r="C286" s="29"/>
    </row>
    <row r="287">
      <c r="B287" s="29"/>
      <c r="C287" s="29"/>
    </row>
    <row r="288">
      <c r="B288" s="29"/>
      <c r="C288" s="29"/>
    </row>
    <row r="289">
      <c r="B289" s="29"/>
      <c r="C289" s="29"/>
    </row>
    <row r="290">
      <c r="B290" s="29"/>
      <c r="C290" s="29"/>
    </row>
    <row r="291">
      <c r="B291" s="29"/>
      <c r="C291" s="29"/>
    </row>
    <row r="292">
      <c r="B292" s="29"/>
      <c r="C292" s="29"/>
    </row>
    <row r="293">
      <c r="B293" s="29"/>
      <c r="C293" s="29"/>
    </row>
    <row r="294">
      <c r="B294" s="29"/>
      <c r="C294" s="29"/>
    </row>
    <row r="295">
      <c r="B295" s="29"/>
      <c r="C295" s="29"/>
    </row>
    <row r="296">
      <c r="B296" s="29"/>
      <c r="C296" s="29"/>
    </row>
    <row r="297">
      <c r="B297" s="29"/>
      <c r="C297" s="29"/>
    </row>
    <row r="298">
      <c r="B298" s="29"/>
      <c r="C298" s="29"/>
    </row>
    <row r="299">
      <c r="B299" s="29"/>
      <c r="C299" s="29"/>
    </row>
    <row r="300">
      <c r="B300" s="29"/>
      <c r="C300" s="29"/>
    </row>
    <row r="301">
      <c r="B301" s="29"/>
      <c r="C301" s="29"/>
    </row>
    <row r="302">
      <c r="B302" s="29"/>
      <c r="C302" s="29"/>
    </row>
    <row r="303">
      <c r="B303" s="29"/>
      <c r="C303" s="29"/>
    </row>
    <row r="304">
      <c r="B304" s="29"/>
      <c r="C304" s="29"/>
    </row>
    <row r="305">
      <c r="B305" s="29"/>
      <c r="C305" s="29"/>
    </row>
    <row r="306">
      <c r="B306" s="29"/>
      <c r="C306" s="29"/>
    </row>
    <row r="307">
      <c r="B307" s="29"/>
      <c r="C307" s="29"/>
    </row>
    <row r="308">
      <c r="B308" s="29"/>
      <c r="C308" s="29"/>
    </row>
    <row r="309">
      <c r="B309" s="29"/>
      <c r="C309" s="29"/>
    </row>
    <row r="310">
      <c r="B310" s="29"/>
      <c r="C310" s="29"/>
    </row>
    <row r="311">
      <c r="B311" s="29"/>
      <c r="C311" s="29"/>
    </row>
    <row r="312">
      <c r="B312" s="29"/>
      <c r="C312" s="29"/>
    </row>
    <row r="313">
      <c r="B313" s="29"/>
      <c r="C313" s="29"/>
    </row>
    <row r="314">
      <c r="B314" s="29"/>
      <c r="C314" s="29"/>
    </row>
    <row r="315">
      <c r="B315" s="29"/>
      <c r="C315" s="29"/>
    </row>
    <row r="316">
      <c r="B316" s="29"/>
      <c r="C316" s="29"/>
    </row>
    <row r="317">
      <c r="B317" s="29"/>
      <c r="C317" s="29"/>
    </row>
    <row r="318">
      <c r="B318" s="29"/>
      <c r="C318" s="29"/>
    </row>
    <row r="319">
      <c r="B319" s="29"/>
      <c r="C319" s="29"/>
    </row>
    <row r="320">
      <c r="B320" s="29"/>
      <c r="C320" s="29"/>
    </row>
    <row r="321">
      <c r="B321" s="29"/>
      <c r="C321" s="29"/>
    </row>
    <row r="322">
      <c r="B322" s="29"/>
      <c r="C322" s="29"/>
    </row>
    <row r="323">
      <c r="B323" s="29"/>
      <c r="C323" s="29"/>
    </row>
    <row r="324">
      <c r="B324" s="29"/>
      <c r="C324" s="29"/>
    </row>
    <row r="325">
      <c r="B325" s="29"/>
      <c r="C325" s="29"/>
    </row>
    <row r="326">
      <c r="B326" s="29"/>
      <c r="C326" s="29"/>
    </row>
    <row r="327">
      <c r="B327" s="29"/>
      <c r="C327" s="29"/>
    </row>
    <row r="328">
      <c r="B328" s="29"/>
      <c r="C328" s="29"/>
    </row>
    <row r="329">
      <c r="B329" s="29"/>
      <c r="C329" s="29"/>
    </row>
    <row r="330">
      <c r="B330" s="29"/>
      <c r="C330" s="29"/>
    </row>
    <row r="331">
      <c r="B331" s="29"/>
      <c r="C331" s="29"/>
    </row>
    <row r="332">
      <c r="B332" s="29"/>
      <c r="C332" s="29"/>
    </row>
    <row r="333">
      <c r="B333" s="29"/>
      <c r="C333" s="29"/>
    </row>
    <row r="334">
      <c r="B334" s="29"/>
      <c r="C334" s="29"/>
    </row>
    <row r="335">
      <c r="B335" s="29"/>
      <c r="C335" s="29"/>
    </row>
    <row r="336">
      <c r="B336" s="29"/>
      <c r="C336" s="29"/>
    </row>
    <row r="337">
      <c r="B337" s="29"/>
      <c r="C337" s="29"/>
    </row>
    <row r="338">
      <c r="B338" s="29"/>
      <c r="C338" s="29"/>
    </row>
    <row r="339">
      <c r="B339" s="29"/>
      <c r="C339" s="29"/>
    </row>
    <row r="340">
      <c r="B340" s="29"/>
      <c r="C340" s="29"/>
    </row>
    <row r="341">
      <c r="B341" s="29"/>
      <c r="C341" s="29"/>
    </row>
    <row r="342">
      <c r="B342" s="29"/>
      <c r="C342" s="29"/>
    </row>
    <row r="343">
      <c r="B343" s="29"/>
      <c r="C343" s="29"/>
    </row>
    <row r="344">
      <c r="B344" s="29"/>
      <c r="C344" s="29"/>
    </row>
    <row r="345">
      <c r="B345" s="29"/>
      <c r="C345" s="29"/>
    </row>
    <row r="346">
      <c r="B346" s="29"/>
      <c r="C346" s="29"/>
    </row>
    <row r="347">
      <c r="B347" s="29"/>
      <c r="C347" s="29"/>
    </row>
    <row r="348">
      <c r="B348" s="29"/>
      <c r="C348" s="29"/>
    </row>
    <row r="349">
      <c r="B349" s="29"/>
      <c r="C349" s="29"/>
    </row>
    <row r="350">
      <c r="B350" s="29"/>
      <c r="C350" s="29"/>
    </row>
    <row r="351">
      <c r="B351" s="29"/>
      <c r="C351" s="29"/>
    </row>
    <row r="352">
      <c r="B352" s="29"/>
      <c r="C352" s="29"/>
    </row>
    <row r="353">
      <c r="B353" s="29"/>
      <c r="C353" s="29"/>
    </row>
    <row r="354">
      <c r="B354" s="29"/>
      <c r="C354" s="29"/>
    </row>
    <row r="355">
      <c r="B355" s="29"/>
      <c r="C355" s="29"/>
    </row>
    <row r="356">
      <c r="B356" s="29"/>
      <c r="C356" s="29"/>
    </row>
    <row r="357">
      <c r="B357" s="29"/>
      <c r="C357" s="29"/>
    </row>
    <row r="358">
      <c r="B358" s="29"/>
      <c r="C358" s="29"/>
    </row>
    <row r="359">
      <c r="B359" s="29"/>
      <c r="C359" s="29"/>
    </row>
    <row r="360">
      <c r="B360" s="29"/>
      <c r="C360" s="29"/>
    </row>
    <row r="361">
      <c r="B361" s="29"/>
      <c r="C361" s="29"/>
    </row>
    <row r="362">
      <c r="B362" s="29"/>
      <c r="C362" s="29"/>
    </row>
    <row r="363">
      <c r="B363" s="29"/>
      <c r="C363" s="29"/>
    </row>
    <row r="364">
      <c r="B364" s="29"/>
      <c r="C364" s="29"/>
    </row>
    <row r="365">
      <c r="B365" s="29"/>
      <c r="C365" s="29"/>
    </row>
    <row r="366">
      <c r="B366" s="29"/>
      <c r="C366" s="29"/>
    </row>
    <row r="367">
      <c r="B367" s="29"/>
      <c r="C367" s="29"/>
    </row>
    <row r="368">
      <c r="B368" s="29"/>
      <c r="C368" s="29"/>
    </row>
    <row r="369">
      <c r="B369" s="29"/>
      <c r="C369" s="29"/>
    </row>
    <row r="370">
      <c r="B370" s="29"/>
      <c r="C370" s="29"/>
    </row>
    <row r="371">
      <c r="B371" s="29"/>
      <c r="C371" s="29"/>
    </row>
    <row r="372">
      <c r="B372" s="29"/>
      <c r="C372" s="29"/>
    </row>
    <row r="373">
      <c r="B373" s="29"/>
      <c r="C373" s="29"/>
    </row>
    <row r="374">
      <c r="B374" s="29"/>
      <c r="C374" s="29"/>
    </row>
    <row r="375">
      <c r="B375" s="29"/>
      <c r="C375" s="29"/>
    </row>
    <row r="376">
      <c r="B376" s="29"/>
      <c r="C376" s="29"/>
    </row>
    <row r="377">
      <c r="B377" s="29"/>
      <c r="C377" s="29"/>
    </row>
    <row r="378">
      <c r="B378" s="29"/>
      <c r="C378" s="29"/>
    </row>
    <row r="379">
      <c r="B379" s="29"/>
      <c r="C379" s="29"/>
    </row>
    <row r="380">
      <c r="B380" s="29"/>
      <c r="C380" s="29"/>
    </row>
    <row r="381">
      <c r="B381" s="29"/>
      <c r="C381" s="29"/>
    </row>
    <row r="382">
      <c r="B382" s="29"/>
      <c r="C382" s="29"/>
    </row>
    <row r="383">
      <c r="B383" s="29"/>
      <c r="C383" s="29"/>
    </row>
    <row r="384">
      <c r="B384" s="29"/>
      <c r="C384" s="29"/>
    </row>
    <row r="385">
      <c r="B385" s="29"/>
      <c r="C385" s="29"/>
    </row>
    <row r="386">
      <c r="B386" s="29"/>
      <c r="C386" s="29"/>
    </row>
    <row r="387">
      <c r="B387" s="29"/>
      <c r="C387" s="29"/>
    </row>
    <row r="388">
      <c r="B388" s="29"/>
      <c r="C388" s="29"/>
    </row>
    <row r="389">
      <c r="B389" s="29"/>
      <c r="C389" s="29"/>
    </row>
    <row r="390">
      <c r="B390" s="29"/>
      <c r="C390" s="29"/>
    </row>
    <row r="391">
      <c r="B391" s="29"/>
      <c r="C391" s="29"/>
    </row>
    <row r="392">
      <c r="B392" s="29"/>
      <c r="C392" s="29"/>
    </row>
    <row r="393">
      <c r="B393" s="29"/>
      <c r="C393" s="29"/>
    </row>
    <row r="394">
      <c r="B394" s="29"/>
      <c r="C394" s="29"/>
    </row>
    <row r="395">
      <c r="B395" s="29"/>
      <c r="C395" s="29"/>
    </row>
    <row r="396">
      <c r="B396" s="29"/>
      <c r="C396" s="29"/>
    </row>
    <row r="397">
      <c r="B397" s="29"/>
      <c r="C397" s="29"/>
    </row>
    <row r="398">
      <c r="B398" s="29"/>
      <c r="C398" s="29"/>
    </row>
    <row r="399">
      <c r="B399" s="29"/>
      <c r="C399" s="29"/>
    </row>
    <row r="400">
      <c r="B400" s="29"/>
      <c r="C400" s="29"/>
    </row>
    <row r="401">
      <c r="B401" s="29"/>
      <c r="C401" s="29"/>
    </row>
    <row r="402">
      <c r="B402" s="29"/>
      <c r="C402" s="29"/>
    </row>
    <row r="403">
      <c r="B403" s="29"/>
      <c r="C403" s="29"/>
    </row>
    <row r="404">
      <c r="B404" s="29"/>
      <c r="C404" s="29"/>
    </row>
    <row r="405">
      <c r="B405" s="29"/>
      <c r="C405" s="29"/>
    </row>
    <row r="406">
      <c r="B406" s="29"/>
      <c r="C406" s="29"/>
    </row>
    <row r="407">
      <c r="B407" s="29"/>
      <c r="C407" s="29"/>
    </row>
    <row r="408">
      <c r="B408" s="29"/>
      <c r="C408" s="29"/>
    </row>
    <row r="409">
      <c r="B409" s="29"/>
      <c r="C409" s="29"/>
    </row>
    <row r="410">
      <c r="B410" s="29"/>
      <c r="C410" s="29"/>
    </row>
    <row r="411">
      <c r="B411" s="29"/>
      <c r="C411" s="29"/>
    </row>
    <row r="412">
      <c r="B412" s="29"/>
      <c r="C412" s="29"/>
    </row>
    <row r="413">
      <c r="B413" s="29"/>
      <c r="C413" s="29"/>
    </row>
    <row r="414">
      <c r="B414" s="29"/>
      <c r="C414" s="29"/>
    </row>
    <row r="415">
      <c r="B415" s="29"/>
      <c r="C415" s="29"/>
    </row>
    <row r="416">
      <c r="B416" s="29"/>
      <c r="C416" s="29"/>
    </row>
    <row r="417">
      <c r="B417" s="29"/>
      <c r="C417" s="29"/>
    </row>
    <row r="418">
      <c r="B418" s="29"/>
      <c r="C418" s="29"/>
    </row>
    <row r="419">
      <c r="B419" s="29"/>
      <c r="C419" s="29"/>
    </row>
    <row r="420">
      <c r="B420" s="29"/>
      <c r="C420" s="29"/>
    </row>
    <row r="421">
      <c r="B421" s="29"/>
      <c r="C421" s="29"/>
    </row>
    <row r="422">
      <c r="B422" s="29"/>
      <c r="C422" s="29"/>
    </row>
    <row r="423">
      <c r="B423" s="29"/>
      <c r="C423" s="29"/>
    </row>
    <row r="424">
      <c r="B424" s="29"/>
      <c r="C424" s="29"/>
    </row>
    <row r="425">
      <c r="B425" s="29"/>
      <c r="C425" s="29"/>
    </row>
    <row r="426">
      <c r="B426" s="29"/>
      <c r="C426" s="29"/>
    </row>
    <row r="427">
      <c r="B427" s="29"/>
      <c r="C427" s="29"/>
    </row>
    <row r="428">
      <c r="B428" s="29"/>
      <c r="C428" s="29"/>
    </row>
    <row r="429">
      <c r="B429" s="29"/>
      <c r="C429" s="29"/>
    </row>
    <row r="430">
      <c r="B430" s="29"/>
      <c r="C430" s="29"/>
    </row>
    <row r="431">
      <c r="B431" s="29"/>
      <c r="C431" s="29"/>
    </row>
    <row r="432">
      <c r="B432" s="29"/>
      <c r="C432" s="29"/>
    </row>
    <row r="433">
      <c r="B433" s="29"/>
      <c r="C433" s="29"/>
    </row>
    <row r="434">
      <c r="B434" s="29"/>
      <c r="C434" s="29"/>
    </row>
    <row r="435">
      <c r="B435" s="29"/>
      <c r="C435" s="29"/>
    </row>
    <row r="436">
      <c r="B436" s="29"/>
      <c r="C436" s="29"/>
    </row>
    <row r="437">
      <c r="B437" s="29"/>
      <c r="C437" s="29"/>
    </row>
    <row r="438">
      <c r="B438" s="29"/>
      <c r="C438" s="29"/>
    </row>
    <row r="439">
      <c r="B439" s="29"/>
      <c r="C439" s="29"/>
    </row>
    <row r="440">
      <c r="B440" s="29"/>
      <c r="C440" s="29"/>
    </row>
    <row r="441">
      <c r="B441" s="29"/>
      <c r="C441" s="29"/>
    </row>
    <row r="442">
      <c r="B442" s="29"/>
      <c r="C442" s="29"/>
    </row>
    <row r="443">
      <c r="B443" s="29"/>
      <c r="C443" s="29"/>
    </row>
    <row r="444">
      <c r="B444" s="29"/>
      <c r="C444" s="29"/>
    </row>
    <row r="445">
      <c r="B445" s="29"/>
      <c r="C445" s="29"/>
    </row>
    <row r="446">
      <c r="B446" s="29"/>
      <c r="C446" s="29"/>
    </row>
    <row r="447">
      <c r="B447" s="29"/>
      <c r="C447" s="29"/>
    </row>
    <row r="448">
      <c r="B448" s="29"/>
      <c r="C448" s="29"/>
    </row>
    <row r="449">
      <c r="B449" s="29"/>
      <c r="C449" s="29"/>
    </row>
    <row r="450">
      <c r="B450" s="29"/>
      <c r="C450" s="29"/>
    </row>
    <row r="451">
      <c r="B451" s="29"/>
      <c r="C451" s="29"/>
    </row>
    <row r="452">
      <c r="B452" s="29"/>
      <c r="C452" s="29"/>
    </row>
    <row r="453">
      <c r="B453" s="29"/>
      <c r="C453" s="29"/>
    </row>
    <row r="454">
      <c r="B454" s="29"/>
      <c r="C454" s="29"/>
    </row>
    <row r="455">
      <c r="B455" s="29"/>
      <c r="C455" s="29"/>
    </row>
    <row r="456">
      <c r="B456" s="29"/>
      <c r="C456" s="29"/>
    </row>
    <row r="457">
      <c r="B457" s="29"/>
      <c r="C457" s="29"/>
    </row>
    <row r="458">
      <c r="B458" s="29"/>
      <c r="C458" s="29"/>
    </row>
    <row r="459">
      <c r="B459" s="29"/>
      <c r="C459" s="29"/>
    </row>
    <row r="460">
      <c r="B460" s="29"/>
      <c r="C460" s="29"/>
    </row>
    <row r="461">
      <c r="B461" s="29"/>
      <c r="C461" s="29"/>
    </row>
    <row r="462">
      <c r="B462" s="29"/>
      <c r="C462" s="29"/>
    </row>
    <row r="463">
      <c r="B463" s="29"/>
      <c r="C463" s="29"/>
    </row>
    <row r="464">
      <c r="B464" s="29"/>
      <c r="C464" s="29"/>
    </row>
    <row r="465">
      <c r="B465" s="29"/>
      <c r="C465" s="29"/>
    </row>
    <row r="466">
      <c r="B466" s="29"/>
      <c r="C466" s="29"/>
    </row>
    <row r="467">
      <c r="B467" s="29"/>
      <c r="C467" s="29"/>
    </row>
    <row r="468">
      <c r="B468" s="29"/>
      <c r="C468" s="29"/>
    </row>
    <row r="469">
      <c r="B469" s="29"/>
      <c r="C469" s="29"/>
    </row>
    <row r="470">
      <c r="B470" s="29"/>
      <c r="C470" s="29"/>
    </row>
    <row r="471">
      <c r="B471" s="29"/>
      <c r="C471" s="29"/>
    </row>
    <row r="472">
      <c r="B472" s="29"/>
      <c r="C472" s="29"/>
    </row>
    <row r="473">
      <c r="B473" s="29"/>
      <c r="C473" s="29"/>
    </row>
    <row r="474">
      <c r="B474" s="29"/>
      <c r="C474" s="29"/>
    </row>
    <row r="475">
      <c r="B475" s="29"/>
      <c r="C475" s="29"/>
    </row>
    <row r="476">
      <c r="B476" s="29"/>
      <c r="C476" s="29"/>
    </row>
    <row r="477">
      <c r="B477" s="29"/>
      <c r="C477" s="29"/>
    </row>
    <row r="478">
      <c r="B478" s="29"/>
      <c r="C478" s="29"/>
    </row>
    <row r="479">
      <c r="B479" s="29"/>
      <c r="C479" s="29"/>
    </row>
    <row r="480">
      <c r="B480" s="29"/>
      <c r="C480" s="29"/>
    </row>
    <row r="481">
      <c r="B481" s="29"/>
      <c r="C481" s="29"/>
    </row>
    <row r="482">
      <c r="B482" s="29"/>
      <c r="C482" s="29"/>
    </row>
    <row r="483">
      <c r="B483" s="29"/>
      <c r="C483" s="29"/>
    </row>
    <row r="484">
      <c r="B484" s="29"/>
      <c r="C484" s="29"/>
    </row>
    <row r="485">
      <c r="B485" s="29"/>
      <c r="C485" s="29"/>
    </row>
    <row r="486">
      <c r="B486" s="29"/>
      <c r="C486" s="29"/>
    </row>
    <row r="487">
      <c r="B487" s="29"/>
      <c r="C487" s="29"/>
    </row>
    <row r="488">
      <c r="B488" s="29"/>
      <c r="C488" s="29"/>
    </row>
    <row r="489">
      <c r="B489" s="29"/>
      <c r="C489" s="29"/>
    </row>
    <row r="490">
      <c r="B490" s="29"/>
      <c r="C490" s="29"/>
    </row>
    <row r="491">
      <c r="B491" s="29"/>
      <c r="C491" s="29"/>
    </row>
    <row r="492">
      <c r="B492" s="29"/>
      <c r="C492" s="29"/>
    </row>
    <row r="493">
      <c r="B493" s="29"/>
      <c r="C493" s="29"/>
    </row>
    <row r="494">
      <c r="B494" s="29"/>
      <c r="C494" s="29"/>
    </row>
    <row r="495">
      <c r="B495" s="29"/>
      <c r="C495" s="29"/>
    </row>
    <row r="496">
      <c r="B496" s="29"/>
      <c r="C496" s="29"/>
    </row>
    <row r="497">
      <c r="B497" s="29"/>
      <c r="C497" s="29"/>
    </row>
    <row r="498">
      <c r="B498" s="29"/>
      <c r="C498" s="29"/>
    </row>
    <row r="499">
      <c r="B499" s="29"/>
      <c r="C499" s="29"/>
    </row>
    <row r="500">
      <c r="B500" s="29"/>
      <c r="C500" s="29"/>
    </row>
    <row r="501">
      <c r="B501" s="29"/>
      <c r="C501" s="29"/>
    </row>
    <row r="502">
      <c r="B502" s="29"/>
      <c r="C502" s="29"/>
    </row>
    <row r="503">
      <c r="B503" s="29"/>
      <c r="C503" s="29"/>
    </row>
    <row r="504">
      <c r="B504" s="29"/>
      <c r="C504" s="29"/>
    </row>
    <row r="505">
      <c r="B505" s="29"/>
      <c r="C505" s="29"/>
    </row>
    <row r="506">
      <c r="B506" s="29"/>
      <c r="C506" s="29"/>
    </row>
    <row r="507">
      <c r="B507" s="29"/>
      <c r="C507" s="29"/>
    </row>
    <row r="508">
      <c r="B508" s="29"/>
      <c r="C508" s="29"/>
    </row>
    <row r="509">
      <c r="B509" s="29"/>
      <c r="C509" s="29"/>
    </row>
    <row r="510">
      <c r="B510" s="29"/>
      <c r="C510" s="29"/>
    </row>
    <row r="511">
      <c r="B511" s="29"/>
      <c r="C511" s="29"/>
    </row>
    <row r="512">
      <c r="B512" s="29"/>
      <c r="C512" s="29"/>
    </row>
    <row r="513">
      <c r="B513" s="29"/>
      <c r="C513" s="29"/>
    </row>
    <row r="514">
      <c r="B514" s="29"/>
      <c r="C514" s="29"/>
    </row>
    <row r="515">
      <c r="B515" s="29"/>
      <c r="C515" s="29"/>
    </row>
    <row r="516">
      <c r="B516" s="29"/>
      <c r="C516" s="29"/>
    </row>
    <row r="517">
      <c r="B517" s="29"/>
      <c r="C517" s="29"/>
    </row>
    <row r="518">
      <c r="B518" s="29"/>
      <c r="C518" s="29"/>
    </row>
    <row r="519">
      <c r="B519" s="29"/>
      <c r="C519" s="29"/>
    </row>
    <row r="520">
      <c r="B520" s="29"/>
      <c r="C520" s="29"/>
    </row>
    <row r="521">
      <c r="B521" s="29"/>
      <c r="C521" s="29"/>
    </row>
    <row r="522">
      <c r="B522" s="29"/>
      <c r="C522" s="29"/>
    </row>
    <row r="523">
      <c r="B523" s="29"/>
      <c r="C523" s="29"/>
    </row>
    <row r="524">
      <c r="B524" s="29"/>
      <c r="C524" s="29"/>
    </row>
    <row r="525">
      <c r="B525" s="29"/>
      <c r="C525" s="29"/>
    </row>
    <row r="526">
      <c r="B526" s="29"/>
      <c r="C526" s="29"/>
    </row>
    <row r="527">
      <c r="B527" s="29"/>
      <c r="C527" s="29"/>
    </row>
    <row r="528">
      <c r="B528" s="29"/>
      <c r="C528" s="29"/>
    </row>
    <row r="529">
      <c r="B529" s="29"/>
      <c r="C529" s="29"/>
    </row>
    <row r="530">
      <c r="B530" s="29"/>
      <c r="C530" s="29"/>
    </row>
    <row r="531">
      <c r="B531" s="29"/>
      <c r="C531" s="29"/>
    </row>
    <row r="532">
      <c r="B532" s="29"/>
      <c r="C532" s="29"/>
    </row>
    <row r="533">
      <c r="B533" s="29"/>
      <c r="C533" s="29"/>
    </row>
    <row r="534">
      <c r="B534" s="29"/>
      <c r="C534" s="29"/>
    </row>
    <row r="535">
      <c r="B535" s="29"/>
      <c r="C535" s="29"/>
    </row>
    <row r="536">
      <c r="B536" s="29"/>
      <c r="C536" s="29"/>
    </row>
    <row r="537">
      <c r="B537" s="29"/>
      <c r="C537" s="29"/>
    </row>
    <row r="538">
      <c r="B538" s="29"/>
      <c r="C538" s="29"/>
    </row>
    <row r="539">
      <c r="B539" s="29"/>
      <c r="C539" s="29"/>
    </row>
    <row r="540">
      <c r="B540" s="29"/>
      <c r="C540" s="29"/>
    </row>
    <row r="541">
      <c r="B541" s="29"/>
      <c r="C541" s="29"/>
    </row>
    <row r="542">
      <c r="B542" s="29"/>
      <c r="C542" s="29"/>
    </row>
    <row r="543">
      <c r="B543" s="29"/>
      <c r="C543" s="29"/>
    </row>
    <row r="544">
      <c r="B544" s="29"/>
      <c r="C544" s="29"/>
    </row>
    <row r="545">
      <c r="B545" s="29"/>
      <c r="C545" s="29"/>
    </row>
    <row r="546">
      <c r="B546" s="29"/>
      <c r="C546" s="29"/>
    </row>
    <row r="547">
      <c r="B547" s="29"/>
      <c r="C547" s="29"/>
    </row>
    <row r="548">
      <c r="B548" s="29"/>
      <c r="C548" s="29"/>
    </row>
    <row r="549">
      <c r="B549" s="29"/>
      <c r="C549" s="29"/>
    </row>
    <row r="550">
      <c r="B550" s="29"/>
      <c r="C550" s="29"/>
    </row>
    <row r="551">
      <c r="B551" s="29"/>
      <c r="C551" s="29"/>
    </row>
    <row r="552">
      <c r="B552" s="29"/>
      <c r="C552" s="29"/>
    </row>
    <row r="553">
      <c r="B553" s="29"/>
      <c r="C553" s="29"/>
    </row>
    <row r="554">
      <c r="B554" s="29"/>
      <c r="C554" s="29"/>
    </row>
    <row r="555">
      <c r="B555" s="29"/>
      <c r="C555" s="29"/>
    </row>
    <row r="556">
      <c r="B556" s="29"/>
      <c r="C556" s="29"/>
    </row>
    <row r="557">
      <c r="B557" s="29"/>
      <c r="C557" s="29"/>
    </row>
    <row r="558">
      <c r="B558" s="29"/>
      <c r="C558" s="29"/>
    </row>
    <row r="559">
      <c r="B559" s="29"/>
      <c r="C559" s="29"/>
    </row>
    <row r="560">
      <c r="B560" s="29"/>
      <c r="C560" s="29"/>
    </row>
    <row r="561">
      <c r="B561" s="29"/>
      <c r="C561" s="29"/>
    </row>
    <row r="562">
      <c r="B562" s="29"/>
      <c r="C562" s="29"/>
    </row>
    <row r="563">
      <c r="B563" s="29"/>
      <c r="C563" s="29"/>
    </row>
    <row r="564">
      <c r="B564" s="29"/>
      <c r="C564" s="29"/>
    </row>
    <row r="565">
      <c r="B565" s="29"/>
      <c r="C565" s="29"/>
    </row>
    <row r="566">
      <c r="B566" s="29"/>
      <c r="C566" s="29"/>
    </row>
    <row r="567">
      <c r="B567" s="29"/>
      <c r="C567" s="29"/>
    </row>
    <row r="568">
      <c r="B568" s="29"/>
      <c r="C568" s="29"/>
    </row>
    <row r="569">
      <c r="B569" s="29"/>
      <c r="C569" s="29"/>
    </row>
    <row r="570">
      <c r="B570" s="29"/>
      <c r="C570" s="29"/>
    </row>
    <row r="571">
      <c r="B571" s="29"/>
      <c r="C571" s="29"/>
    </row>
    <row r="572">
      <c r="B572" s="29"/>
      <c r="C572" s="29"/>
    </row>
    <row r="573">
      <c r="B573" s="29"/>
      <c r="C573" s="29"/>
    </row>
    <row r="574">
      <c r="B574" s="29"/>
      <c r="C574" s="29"/>
    </row>
    <row r="575">
      <c r="B575" s="29"/>
      <c r="C575" s="29"/>
    </row>
    <row r="576">
      <c r="B576" s="29"/>
      <c r="C576" s="29"/>
    </row>
    <row r="577">
      <c r="B577" s="29"/>
      <c r="C577" s="29"/>
    </row>
    <row r="578">
      <c r="B578" s="29"/>
      <c r="C578" s="29"/>
    </row>
    <row r="579">
      <c r="B579" s="29"/>
      <c r="C579" s="29"/>
    </row>
    <row r="580">
      <c r="B580" s="29"/>
      <c r="C580" s="29"/>
    </row>
    <row r="581">
      <c r="B581" s="29"/>
      <c r="C581" s="29"/>
    </row>
    <row r="582">
      <c r="B582" s="29"/>
      <c r="C582" s="29"/>
    </row>
    <row r="583">
      <c r="B583" s="29"/>
      <c r="C583" s="29"/>
    </row>
    <row r="584">
      <c r="B584" s="29"/>
      <c r="C584" s="29"/>
    </row>
    <row r="585">
      <c r="B585" s="29"/>
      <c r="C585" s="29"/>
    </row>
    <row r="586">
      <c r="B586" s="29"/>
      <c r="C586" s="29"/>
    </row>
    <row r="587">
      <c r="B587" s="29"/>
      <c r="C587" s="29"/>
    </row>
    <row r="588">
      <c r="B588" s="29"/>
      <c r="C588" s="29"/>
    </row>
    <row r="589">
      <c r="B589" s="29"/>
      <c r="C589" s="29"/>
    </row>
    <row r="590">
      <c r="B590" s="29"/>
      <c r="C590" s="29"/>
    </row>
    <row r="591">
      <c r="B591" s="29"/>
      <c r="C591" s="29"/>
    </row>
    <row r="592">
      <c r="B592" s="29"/>
      <c r="C592" s="29"/>
    </row>
    <row r="593">
      <c r="B593" s="29"/>
      <c r="C593" s="29"/>
    </row>
    <row r="594">
      <c r="B594" s="29"/>
      <c r="C594" s="29"/>
    </row>
    <row r="595">
      <c r="B595" s="29"/>
      <c r="C595" s="29"/>
    </row>
    <row r="596">
      <c r="B596" s="29"/>
      <c r="C596" s="29"/>
    </row>
    <row r="597">
      <c r="B597" s="29"/>
      <c r="C597" s="29"/>
    </row>
    <row r="598">
      <c r="B598" s="29"/>
      <c r="C598" s="29"/>
    </row>
    <row r="599">
      <c r="B599" s="29"/>
      <c r="C599" s="29"/>
    </row>
    <row r="600">
      <c r="B600" s="29"/>
      <c r="C600" s="29"/>
    </row>
    <row r="601">
      <c r="B601" s="29"/>
      <c r="C601" s="29"/>
    </row>
    <row r="602">
      <c r="B602" s="29"/>
      <c r="C602" s="29"/>
    </row>
    <row r="603">
      <c r="B603" s="29"/>
      <c r="C603" s="29"/>
    </row>
    <row r="604">
      <c r="B604" s="29"/>
      <c r="C604" s="29"/>
    </row>
    <row r="605">
      <c r="B605" s="29"/>
      <c r="C605" s="29"/>
    </row>
    <row r="606">
      <c r="B606" s="29"/>
      <c r="C606" s="29"/>
    </row>
    <row r="607">
      <c r="B607" s="29"/>
      <c r="C607" s="29"/>
    </row>
    <row r="608">
      <c r="B608" s="29"/>
      <c r="C608" s="29"/>
    </row>
    <row r="609">
      <c r="B609" s="29"/>
      <c r="C609" s="29"/>
    </row>
    <row r="610">
      <c r="B610" s="29"/>
      <c r="C610" s="29"/>
    </row>
    <row r="611">
      <c r="B611" s="29"/>
      <c r="C611" s="29"/>
    </row>
    <row r="612">
      <c r="B612" s="29"/>
      <c r="C612" s="29"/>
    </row>
    <row r="613">
      <c r="B613" s="29"/>
      <c r="C613" s="29"/>
    </row>
    <row r="614">
      <c r="B614" s="29"/>
      <c r="C614" s="29"/>
    </row>
    <row r="615">
      <c r="B615" s="29"/>
      <c r="C615" s="29"/>
    </row>
    <row r="616">
      <c r="B616" s="29"/>
      <c r="C616" s="29"/>
    </row>
    <row r="617">
      <c r="B617" s="29"/>
      <c r="C617" s="29"/>
    </row>
    <row r="618">
      <c r="B618" s="29"/>
      <c r="C618" s="29"/>
    </row>
    <row r="619">
      <c r="B619" s="29"/>
      <c r="C619" s="29"/>
    </row>
    <row r="620">
      <c r="B620" s="29"/>
      <c r="C620" s="29"/>
    </row>
    <row r="621">
      <c r="B621" s="29"/>
      <c r="C621" s="29"/>
    </row>
    <row r="622">
      <c r="B622" s="29"/>
      <c r="C622" s="29"/>
    </row>
    <row r="623">
      <c r="B623" s="29"/>
      <c r="C623" s="29"/>
    </row>
    <row r="624">
      <c r="B624" s="29"/>
      <c r="C624" s="29"/>
    </row>
    <row r="625">
      <c r="B625" s="29"/>
      <c r="C625" s="29"/>
    </row>
    <row r="626">
      <c r="B626" s="29"/>
      <c r="C626" s="29"/>
    </row>
    <row r="627">
      <c r="B627" s="29"/>
      <c r="C627" s="29"/>
    </row>
    <row r="628">
      <c r="B628" s="29"/>
      <c r="C628" s="29"/>
    </row>
    <row r="629">
      <c r="B629" s="29"/>
      <c r="C629" s="29"/>
    </row>
    <row r="630">
      <c r="B630" s="29"/>
      <c r="C630" s="29"/>
    </row>
    <row r="631">
      <c r="B631" s="29"/>
      <c r="C631" s="29"/>
    </row>
    <row r="632">
      <c r="B632" s="29"/>
      <c r="C632" s="29"/>
    </row>
    <row r="633">
      <c r="B633" s="29"/>
      <c r="C633" s="29"/>
    </row>
    <row r="634">
      <c r="B634" s="29"/>
      <c r="C634" s="29"/>
    </row>
    <row r="635">
      <c r="B635" s="29"/>
      <c r="C635" s="29"/>
    </row>
    <row r="636">
      <c r="B636" s="29"/>
      <c r="C636" s="29"/>
    </row>
    <row r="637">
      <c r="B637" s="29"/>
      <c r="C637" s="29"/>
    </row>
    <row r="638">
      <c r="B638" s="29"/>
      <c r="C638" s="29"/>
    </row>
    <row r="639">
      <c r="B639" s="29"/>
      <c r="C639" s="29"/>
    </row>
    <row r="640">
      <c r="B640" s="29"/>
      <c r="C640" s="29"/>
    </row>
    <row r="641">
      <c r="B641" s="29"/>
      <c r="C641" s="29"/>
    </row>
    <row r="642">
      <c r="B642" s="29"/>
      <c r="C642" s="29"/>
    </row>
    <row r="643">
      <c r="B643" s="29"/>
      <c r="C643" s="29"/>
    </row>
    <row r="644">
      <c r="B644" s="29"/>
      <c r="C644" s="29"/>
    </row>
    <row r="645">
      <c r="B645" s="29"/>
      <c r="C645" s="29"/>
    </row>
    <row r="646">
      <c r="B646" s="29"/>
      <c r="C646" s="29"/>
    </row>
    <row r="647">
      <c r="B647" s="29"/>
      <c r="C647" s="29"/>
    </row>
    <row r="648">
      <c r="B648" s="29"/>
      <c r="C648" s="29"/>
    </row>
    <row r="649">
      <c r="B649" s="29"/>
      <c r="C649" s="29"/>
    </row>
    <row r="650">
      <c r="B650" s="29"/>
      <c r="C650" s="29"/>
    </row>
    <row r="651">
      <c r="B651" s="29"/>
      <c r="C651" s="29"/>
    </row>
    <row r="652">
      <c r="B652" s="29"/>
      <c r="C652" s="29"/>
    </row>
    <row r="653">
      <c r="B653" s="29"/>
      <c r="C653" s="29"/>
    </row>
    <row r="654">
      <c r="B654" s="29"/>
      <c r="C654" s="29"/>
    </row>
    <row r="655">
      <c r="B655" s="29"/>
      <c r="C655" s="29"/>
    </row>
    <row r="656">
      <c r="B656" s="29"/>
      <c r="C656" s="29"/>
    </row>
    <row r="657">
      <c r="B657" s="29"/>
      <c r="C657" s="29"/>
    </row>
    <row r="658">
      <c r="B658" s="29"/>
      <c r="C658" s="29"/>
    </row>
    <row r="659">
      <c r="B659" s="29"/>
      <c r="C659" s="29"/>
    </row>
    <row r="660">
      <c r="B660" s="29"/>
      <c r="C660" s="29"/>
    </row>
    <row r="661">
      <c r="B661" s="29"/>
      <c r="C661" s="29"/>
    </row>
    <row r="662">
      <c r="B662" s="29"/>
      <c r="C662" s="29"/>
    </row>
    <row r="663">
      <c r="B663" s="29"/>
      <c r="C663" s="29"/>
    </row>
    <row r="664">
      <c r="B664" s="29"/>
      <c r="C664" s="29"/>
    </row>
    <row r="665">
      <c r="B665" s="29"/>
      <c r="C665" s="29"/>
    </row>
    <row r="666">
      <c r="B666" s="29"/>
      <c r="C666" s="29"/>
    </row>
    <row r="667">
      <c r="B667" s="29"/>
      <c r="C667" s="29"/>
    </row>
    <row r="668">
      <c r="B668" s="29"/>
      <c r="C668" s="29"/>
    </row>
    <row r="669">
      <c r="B669" s="29"/>
      <c r="C669" s="29"/>
    </row>
    <row r="670">
      <c r="B670" s="29"/>
      <c r="C670" s="29"/>
    </row>
    <row r="671">
      <c r="B671" s="29"/>
      <c r="C671" s="29"/>
    </row>
    <row r="672">
      <c r="B672" s="29"/>
      <c r="C672" s="29"/>
    </row>
    <row r="673">
      <c r="B673" s="29"/>
      <c r="C673" s="29"/>
    </row>
    <row r="674">
      <c r="B674" s="29"/>
      <c r="C674" s="29"/>
    </row>
    <row r="675">
      <c r="B675" s="29"/>
      <c r="C675" s="29"/>
    </row>
    <row r="676">
      <c r="B676" s="29"/>
      <c r="C676" s="29"/>
    </row>
    <row r="677">
      <c r="B677" s="29"/>
      <c r="C677" s="29"/>
    </row>
    <row r="678">
      <c r="B678" s="29"/>
      <c r="C678" s="29"/>
    </row>
    <row r="679">
      <c r="B679" s="29"/>
      <c r="C679" s="29"/>
    </row>
    <row r="680">
      <c r="B680" s="29"/>
      <c r="C680" s="29"/>
    </row>
    <row r="681">
      <c r="B681" s="29"/>
      <c r="C681" s="29"/>
    </row>
    <row r="682">
      <c r="B682" s="29"/>
      <c r="C682" s="29"/>
    </row>
    <row r="683">
      <c r="B683" s="29"/>
      <c r="C683" s="29"/>
    </row>
    <row r="684">
      <c r="B684" s="29"/>
      <c r="C684" s="29"/>
    </row>
    <row r="685">
      <c r="B685" s="29"/>
      <c r="C685" s="29"/>
    </row>
    <row r="686">
      <c r="B686" s="29"/>
      <c r="C686" s="29"/>
    </row>
    <row r="687">
      <c r="B687" s="29"/>
      <c r="C687" s="29"/>
    </row>
    <row r="688">
      <c r="B688" s="29"/>
      <c r="C688" s="29"/>
    </row>
    <row r="689">
      <c r="B689" s="29"/>
      <c r="C689" s="29"/>
    </row>
    <row r="690">
      <c r="B690" s="29"/>
      <c r="C690" s="29"/>
    </row>
    <row r="691">
      <c r="B691" s="29"/>
      <c r="C691" s="29"/>
    </row>
    <row r="692">
      <c r="B692" s="29"/>
      <c r="C692" s="29"/>
    </row>
    <row r="693">
      <c r="B693" s="29"/>
      <c r="C693" s="29"/>
    </row>
    <row r="694">
      <c r="B694" s="29"/>
      <c r="C694" s="29"/>
    </row>
    <row r="695">
      <c r="B695" s="29"/>
      <c r="C695" s="29"/>
    </row>
    <row r="696">
      <c r="B696" s="29"/>
      <c r="C696" s="29"/>
    </row>
    <row r="697">
      <c r="B697" s="29"/>
      <c r="C697" s="29"/>
    </row>
    <row r="698">
      <c r="B698" s="29"/>
      <c r="C698" s="29"/>
    </row>
    <row r="699">
      <c r="B699" s="29"/>
      <c r="C699" s="29"/>
    </row>
    <row r="700">
      <c r="B700" s="29"/>
      <c r="C700" s="29"/>
    </row>
    <row r="701">
      <c r="B701" s="29"/>
      <c r="C701" s="29"/>
    </row>
    <row r="702">
      <c r="B702" s="29"/>
      <c r="C702" s="29"/>
    </row>
    <row r="703">
      <c r="B703" s="29"/>
      <c r="C703" s="29"/>
    </row>
    <row r="704">
      <c r="B704" s="29"/>
      <c r="C704" s="29"/>
    </row>
    <row r="705">
      <c r="B705" s="29"/>
      <c r="C705" s="29"/>
    </row>
    <row r="706">
      <c r="B706" s="29"/>
      <c r="C706" s="29"/>
    </row>
    <row r="707">
      <c r="B707" s="29"/>
      <c r="C707" s="29"/>
    </row>
    <row r="708">
      <c r="B708" s="29"/>
      <c r="C708" s="29"/>
    </row>
    <row r="709">
      <c r="B709" s="29"/>
      <c r="C709" s="29"/>
    </row>
    <row r="710">
      <c r="B710" s="29"/>
      <c r="C710" s="29"/>
    </row>
    <row r="711">
      <c r="B711" s="29"/>
      <c r="C711" s="29"/>
    </row>
    <row r="712">
      <c r="B712" s="29"/>
      <c r="C712" s="29"/>
    </row>
    <row r="713">
      <c r="B713" s="29"/>
      <c r="C713" s="29"/>
    </row>
    <row r="714">
      <c r="B714" s="29"/>
      <c r="C714" s="29"/>
    </row>
    <row r="715">
      <c r="B715" s="29"/>
      <c r="C715" s="29"/>
    </row>
    <row r="716">
      <c r="B716" s="29"/>
      <c r="C716" s="29"/>
    </row>
    <row r="717">
      <c r="B717" s="29"/>
      <c r="C717" s="29"/>
    </row>
    <row r="718">
      <c r="B718" s="29"/>
      <c r="C718" s="29"/>
    </row>
    <row r="719">
      <c r="B719" s="29"/>
      <c r="C719" s="29"/>
    </row>
    <row r="720">
      <c r="B720" s="29"/>
      <c r="C720" s="29"/>
    </row>
    <row r="721">
      <c r="B721" s="29"/>
      <c r="C721" s="29"/>
    </row>
    <row r="722">
      <c r="B722" s="29"/>
      <c r="C722" s="29"/>
    </row>
    <row r="723">
      <c r="B723" s="29"/>
      <c r="C723" s="29"/>
    </row>
    <row r="724">
      <c r="B724" s="29"/>
      <c r="C724" s="29"/>
    </row>
    <row r="725">
      <c r="B725" s="29"/>
      <c r="C725" s="29"/>
    </row>
    <row r="726">
      <c r="B726" s="29"/>
      <c r="C726" s="29"/>
    </row>
    <row r="727">
      <c r="B727" s="29"/>
      <c r="C727" s="29"/>
    </row>
    <row r="728">
      <c r="B728" s="29"/>
      <c r="C728" s="29"/>
    </row>
    <row r="729">
      <c r="B729" s="29"/>
      <c r="C729" s="29"/>
    </row>
    <row r="730">
      <c r="B730" s="29"/>
      <c r="C730" s="29"/>
    </row>
    <row r="731">
      <c r="B731" s="29"/>
      <c r="C731" s="29"/>
    </row>
    <row r="732">
      <c r="B732" s="29"/>
      <c r="C732" s="29"/>
    </row>
    <row r="733">
      <c r="B733" s="29"/>
      <c r="C733" s="29"/>
    </row>
    <row r="734">
      <c r="B734" s="29"/>
      <c r="C734" s="29"/>
    </row>
    <row r="735">
      <c r="B735" s="29"/>
      <c r="C735" s="29"/>
    </row>
    <row r="736">
      <c r="B736" s="29"/>
      <c r="C736" s="29"/>
    </row>
    <row r="737">
      <c r="B737" s="29"/>
      <c r="C737" s="29"/>
    </row>
    <row r="738">
      <c r="B738" s="29"/>
      <c r="C738" s="29"/>
    </row>
    <row r="739">
      <c r="B739" s="29"/>
      <c r="C739" s="29"/>
    </row>
    <row r="740">
      <c r="B740" s="29"/>
      <c r="C740" s="29"/>
    </row>
    <row r="741">
      <c r="B741" s="29"/>
      <c r="C741" s="29"/>
    </row>
    <row r="742">
      <c r="B742" s="29"/>
      <c r="C742" s="29"/>
    </row>
    <row r="743">
      <c r="B743" s="29"/>
      <c r="C743" s="29"/>
    </row>
    <row r="744">
      <c r="B744" s="29"/>
      <c r="C744" s="29"/>
    </row>
    <row r="745">
      <c r="B745" s="29"/>
      <c r="C745" s="29"/>
    </row>
    <row r="746">
      <c r="B746" s="29"/>
      <c r="C746" s="29"/>
    </row>
    <row r="747">
      <c r="B747" s="29"/>
      <c r="C747" s="29"/>
    </row>
    <row r="748">
      <c r="B748" s="29"/>
      <c r="C748" s="29"/>
    </row>
    <row r="749">
      <c r="B749" s="29"/>
      <c r="C749" s="29"/>
    </row>
    <row r="750">
      <c r="B750" s="29"/>
      <c r="C750" s="29"/>
    </row>
    <row r="751">
      <c r="B751" s="29"/>
      <c r="C751" s="29"/>
    </row>
    <row r="752">
      <c r="B752" s="29"/>
      <c r="C752" s="29"/>
    </row>
    <row r="753">
      <c r="B753" s="29"/>
      <c r="C753" s="29"/>
    </row>
    <row r="754">
      <c r="B754" s="29"/>
      <c r="C754" s="29"/>
    </row>
    <row r="755">
      <c r="B755" s="29"/>
      <c r="C755" s="29"/>
    </row>
    <row r="756">
      <c r="B756" s="29"/>
      <c r="C756" s="29"/>
    </row>
    <row r="757">
      <c r="B757" s="29"/>
      <c r="C757" s="29"/>
    </row>
    <row r="758">
      <c r="B758" s="29"/>
      <c r="C758" s="29"/>
    </row>
    <row r="759">
      <c r="B759" s="29"/>
      <c r="C759" s="29"/>
    </row>
    <row r="760">
      <c r="B760" s="29"/>
      <c r="C760" s="29"/>
    </row>
    <row r="761">
      <c r="B761" s="29"/>
      <c r="C761" s="29"/>
    </row>
    <row r="762">
      <c r="B762" s="29"/>
      <c r="C762" s="29"/>
    </row>
    <row r="763">
      <c r="B763" s="29"/>
      <c r="C763" s="29"/>
    </row>
    <row r="764">
      <c r="B764" s="29"/>
      <c r="C764" s="29"/>
    </row>
    <row r="765">
      <c r="B765" s="29"/>
      <c r="C765" s="29"/>
    </row>
    <row r="766">
      <c r="B766" s="29"/>
      <c r="C766" s="29"/>
    </row>
    <row r="767">
      <c r="B767" s="29"/>
      <c r="C767" s="29"/>
    </row>
    <row r="768">
      <c r="B768" s="29"/>
      <c r="C768" s="29"/>
    </row>
    <row r="769">
      <c r="B769" s="29"/>
      <c r="C769" s="29"/>
    </row>
    <row r="770">
      <c r="B770" s="29"/>
      <c r="C770" s="29"/>
    </row>
    <row r="771">
      <c r="B771" s="29"/>
      <c r="C771" s="29"/>
    </row>
    <row r="772">
      <c r="B772" s="29"/>
      <c r="C772" s="29"/>
    </row>
    <row r="773">
      <c r="B773" s="29"/>
      <c r="C773" s="29"/>
    </row>
    <row r="774">
      <c r="B774" s="29"/>
      <c r="C774" s="29"/>
    </row>
    <row r="775">
      <c r="B775" s="29"/>
      <c r="C775" s="29"/>
    </row>
    <row r="776">
      <c r="B776" s="29"/>
      <c r="C776" s="29"/>
    </row>
    <row r="777">
      <c r="B777" s="29"/>
      <c r="C777" s="29"/>
    </row>
    <row r="778">
      <c r="B778" s="29"/>
      <c r="C778" s="29"/>
    </row>
    <row r="779">
      <c r="B779" s="29"/>
      <c r="C779" s="29"/>
    </row>
    <row r="780">
      <c r="B780" s="29"/>
      <c r="C780" s="29"/>
    </row>
    <row r="781">
      <c r="B781" s="29"/>
      <c r="C781" s="29"/>
    </row>
    <row r="782">
      <c r="B782" s="29"/>
      <c r="C782" s="29"/>
    </row>
    <row r="783">
      <c r="B783" s="29"/>
      <c r="C783" s="29"/>
    </row>
    <row r="784">
      <c r="B784" s="29"/>
      <c r="C784" s="29"/>
    </row>
    <row r="785">
      <c r="B785" s="29"/>
      <c r="C785" s="29"/>
    </row>
    <row r="786">
      <c r="B786" s="29"/>
      <c r="C786" s="29"/>
    </row>
    <row r="787">
      <c r="B787" s="29"/>
      <c r="C787" s="29"/>
    </row>
    <row r="788">
      <c r="B788" s="29"/>
      <c r="C788" s="29"/>
    </row>
    <row r="789">
      <c r="B789" s="29"/>
      <c r="C789" s="29"/>
    </row>
    <row r="790">
      <c r="B790" s="29"/>
      <c r="C790" s="29"/>
    </row>
    <row r="791">
      <c r="B791" s="29"/>
      <c r="C791" s="29"/>
    </row>
    <row r="792">
      <c r="B792" s="29"/>
      <c r="C792" s="29"/>
    </row>
    <row r="793">
      <c r="B793" s="29"/>
      <c r="C793" s="29"/>
    </row>
    <row r="794">
      <c r="B794" s="29"/>
      <c r="C794" s="29"/>
    </row>
    <row r="795">
      <c r="B795" s="29"/>
      <c r="C795" s="29"/>
    </row>
    <row r="796">
      <c r="B796" s="29"/>
      <c r="C796" s="29"/>
    </row>
    <row r="797">
      <c r="B797" s="29"/>
      <c r="C797" s="29"/>
    </row>
    <row r="798">
      <c r="B798" s="29"/>
      <c r="C798" s="29"/>
    </row>
    <row r="799">
      <c r="B799" s="29"/>
      <c r="C799" s="29"/>
    </row>
    <row r="800">
      <c r="B800" s="29"/>
      <c r="C800" s="29"/>
    </row>
    <row r="801">
      <c r="B801" s="29"/>
      <c r="C801" s="29"/>
    </row>
    <row r="802">
      <c r="B802" s="29"/>
      <c r="C802" s="29"/>
    </row>
    <row r="803">
      <c r="B803" s="29"/>
      <c r="C803" s="29"/>
    </row>
    <row r="804">
      <c r="B804" s="29"/>
      <c r="C804" s="29"/>
    </row>
    <row r="805">
      <c r="B805" s="29"/>
      <c r="C805" s="29"/>
    </row>
    <row r="806">
      <c r="B806" s="29"/>
      <c r="C806" s="29"/>
    </row>
    <row r="807">
      <c r="B807" s="29"/>
      <c r="C807" s="29"/>
    </row>
    <row r="808">
      <c r="B808" s="29"/>
      <c r="C808" s="29"/>
    </row>
    <row r="809">
      <c r="B809" s="29"/>
      <c r="C809" s="29"/>
    </row>
    <row r="810">
      <c r="B810" s="29"/>
      <c r="C810" s="29"/>
    </row>
    <row r="811">
      <c r="B811" s="29"/>
      <c r="C811" s="29"/>
    </row>
    <row r="812">
      <c r="B812" s="29"/>
      <c r="C812" s="29"/>
    </row>
    <row r="813">
      <c r="B813" s="29"/>
      <c r="C813" s="29"/>
    </row>
    <row r="814">
      <c r="B814" s="29"/>
      <c r="C814" s="29"/>
    </row>
    <row r="815">
      <c r="B815" s="29"/>
      <c r="C815" s="29"/>
    </row>
    <row r="816">
      <c r="B816" s="29"/>
      <c r="C816" s="29"/>
    </row>
    <row r="817">
      <c r="B817" s="29"/>
      <c r="C817" s="29"/>
    </row>
    <row r="818">
      <c r="B818" s="29"/>
      <c r="C818" s="29"/>
    </row>
    <row r="819">
      <c r="B819" s="29"/>
      <c r="C819" s="29"/>
    </row>
    <row r="820">
      <c r="B820" s="29"/>
      <c r="C820" s="29"/>
    </row>
    <row r="821">
      <c r="B821" s="29"/>
      <c r="C821" s="29"/>
    </row>
    <row r="822">
      <c r="B822" s="29"/>
      <c r="C822" s="29"/>
    </row>
    <row r="823">
      <c r="B823" s="29"/>
      <c r="C823" s="29"/>
    </row>
    <row r="824">
      <c r="B824" s="29"/>
      <c r="C824" s="29"/>
    </row>
    <row r="825">
      <c r="B825" s="29"/>
      <c r="C825" s="29"/>
    </row>
    <row r="826">
      <c r="B826" s="29"/>
      <c r="C826" s="29"/>
    </row>
    <row r="827">
      <c r="B827" s="29"/>
      <c r="C827" s="29"/>
    </row>
    <row r="828">
      <c r="B828" s="29"/>
      <c r="C828" s="29"/>
    </row>
    <row r="829">
      <c r="B829" s="29"/>
      <c r="C829" s="29"/>
    </row>
    <row r="830">
      <c r="B830" s="29"/>
      <c r="C830" s="29"/>
    </row>
    <row r="831">
      <c r="B831" s="29"/>
      <c r="C831" s="29"/>
    </row>
    <row r="832">
      <c r="B832" s="29"/>
      <c r="C832" s="29"/>
    </row>
    <row r="833">
      <c r="B833" s="29"/>
      <c r="C833" s="29"/>
    </row>
    <row r="834">
      <c r="B834" s="29"/>
      <c r="C834" s="29"/>
    </row>
    <row r="835">
      <c r="B835" s="29"/>
      <c r="C835" s="29"/>
    </row>
    <row r="836">
      <c r="B836" s="29"/>
      <c r="C836" s="29"/>
    </row>
    <row r="837">
      <c r="B837" s="29"/>
      <c r="C837" s="29"/>
    </row>
    <row r="838">
      <c r="B838" s="29"/>
      <c r="C838" s="29"/>
    </row>
    <row r="839">
      <c r="B839" s="29"/>
      <c r="C839" s="29"/>
    </row>
    <row r="840">
      <c r="B840" s="29"/>
      <c r="C840" s="29"/>
    </row>
    <row r="841">
      <c r="B841" s="29"/>
      <c r="C841" s="29"/>
    </row>
    <row r="842">
      <c r="B842" s="29"/>
      <c r="C842" s="29"/>
    </row>
    <row r="843">
      <c r="B843" s="29"/>
      <c r="C843" s="29"/>
    </row>
    <row r="844">
      <c r="B844" s="29"/>
      <c r="C844" s="29"/>
    </row>
    <row r="845">
      <c r="B845" s="29"/>
      <c r="C845" s="29"/>
    </row>
    <row r="846">
      <c r="B846" s="29"/>
      <c r="C846" s="29"/>
    </row>
    <row r="847">
      <c r="B847" s="29"/>
      <c r="C847" s="29"/>
    </row>
    <row r="848">
      <c r="B848" s="29"/>
      <c r="C848" s="29"/>
    </row>
    <row r="849">
      <c r="B849" s="29"/>
      <c r="C849" s="29"/>
    </row>
    <row r="850">
      <c r="B850" s="29"/>
      <c r="C850" s="29"/>
    </row>
    <row r="851">
      <c r="B851" s="29"/>
      <c r="C851" s="29"/>
    </row>
    <row r="852">
      <c r="B852" s="29"/>
      <c r="C852" s="29"/>
    </row>
    <row r="853">
      <c r="B853" s="29"/>
      <c r="C853" s="29"/>
    </row>
    <row r="854">
      <c r="B854" s="29"/>
      <c r="C854" s="29"/>
    </row>
    <row r="855">
      <c r="B855" s="29"/>
      <c r="C855" s="29"/>
    </row>
    <row r="856">
      <c r="B856" s="29"/>
      <c r="C856" s="29"/>
    </row>
    <row r="857">
      <c r="B857" s="29"/>
      <c r="C857" s="29"/>
    </row>
    <row r="858">
      <c r="B858" s="29"/>
      <c r="C858" s="29"/>
    </row>
    <row r="859">
      <c r="B859" s="29"/>
      <c r="C859" s="29"/>
    </row>
    <row r="860">
      <c r="B860" s="29"/>
      <c r="C860" s="29"/>
    </row>
    <row r="861">
      <c r="B861" s="29"/>
      <c r="C861" s="29"/>
    </row>
    <row r="862">
      <c r="B862" s="29"/>
      <c r="C862" s="29"/>
    </row>
    <row r="863">
      <c r="B863" s="29"/>
      <c r="C863" s="29"/>
    </row>
    <row r="864">
      <c r="B864" s="29"/>
      <c r="C864" s="29"/>
    </row>
    <row r="865">
      <c r="B865" s="29"/>
      <c r="C865" s="29"/>
    </row>
    <row r="866">
      <c r="B866" s="29"/>
      <c r="C866" s="29"/>
    </row>
    <row r="867">
      <c r="B867" s="29"/>
      <c r="C867" s="29"/>
    </row>
    <row r="868">
      <c r="B868" s="29"/>
      <c r="C868" s="29"/>
    </row>
    <row r="869">
      <c r="B869" s="29"/>
      <c r="C869" s="29"/>
    </row>
    <row r="870">
      <c r="B870" s="29"/>
      <c r="C870" s="29"/>
    </row>
    <row r="871">
      <c r="B871" s="29"/>
      <c r="C871" s="29"/>
    </row>
    <row r="872">
      <c r="B872" s="29"/>
      <c r="C872" s="29"/>
    </row>
    <row r="873">
      <c r="B873" s="29"/>
      <c r="C873" s="29"/>
    </row>
    <row r="874">
      <c r="B874" s="29"/>
      <c r="C874" s="29"/>
    </row>
    <row r="875">
      <c r="B875" s="29"/>
      <c r="C875" s="29"/>
    </row>
    <row r="876">
      <c r="B876" s="29"/>
      <c r="C876" s="29"/>
    </row>
    <row r="877">
      <c r="B877" s="29"/>
      <c r="C877" s="29"/>
    </row>
    <row r="878">
      <c r="B878" s="29"/>
      <c r="C878" s="29"/>
    </row>
    <row r="879">
      <c r="B879" s="29"/>
      <c r="C879" s="29"/>
    </row>
    <row r="880">
      <c r="B880" s="29"/>
      <c r="C880" s="29"/>
    </row>
    <row r="881">
      <c r="B881" s="29"/>
      <c r="C881" s="29"/>
    </row>
    <row r="882">
      <c r="B882" s="29"/>
      <c r="C882" s="29"/>
    </row>
    <row r="883">
      <c r="B883" s="29"/>
      <c r="C883" s="29"/>
    </row>
    <row r="884">
      <c r="B884" s="29"/>
      <c r="C884" s="29"/>
    </row>
    <row r="885">
      <c r="B885" s="29"/>
      <c r="C885" s="29"/>
    </row>
    <row r="886">
      <c r="B886" s="29"/>
      <c r="C886" s="29"/>
    </row>
    <row r="887">
      <c r="B887" s="29"/>
      <c r="C887" s="29"/>
    </row>
    <row r="888">
      <c r="B888" s="29"/>
      <c r="C888" s="29"/>
    </row>
    <row r="889">
      <c r="B889" s="29"/>
      <c r="C889" s="29"/>
    </row>
    <row r="890">
      <c r="B890" s="29"/>
      <c r="C890" s="29"/>
    </row>
    <row r="891">
      <c r="B891" s="29"/>
      <c r="C891" s="29"/>
    </row>
    <row r="892">
      <c r="B892" s="29"/>
      <c r="C892" s="29"/>
    </row>
    <row r="893">
      <c r="B893" s="29"/>
      <c r="C893" s="29"/>
    </row>
    <row r="894">
      <c r="B894" s="29"/>
      <c r="C894" s="29"/>
    </row>
    <row r="895">
      <c r="B895" s="29"/>
      <c r="C895" s="29"/>
    </row>
    <row r="896">
      <c r="B896" s="29"/>
      <c r="C896" s="29"/>
    </row>
    <row r="897">
      <c r="B897" s="29"/>
      <c r="C897" s="29"/>
    </row>
    <row r="898">
      <c r="B898" s="29"/>
      <c r="C898" s="29"/>
    </row>
    <row r="899">
      <c r="B899" s="29"/>
      <c r="C899" s="29"/>
    </row>
    <row r="900">
      <c r="B900" s="29"/>
      <c r="C900" s="29"/>
    </row>
    <row r="901">
      <c r="B901" s="29"/>
      <c r="C901" s="29"/>
    </row>
    <row r="902">
      <c r="B902" s="29"/>
      <c r="C902" s="29"/>
    </row>
    <row r="903">
      <c r="B903" s="29"/>
      <c r="C903" s="29"/>
    </row>
    <row r="904">
      <c r="B904" s="29"/>
      <c r="C904" s="29"/>
    </row>
    <row r="905">
      <c r="B905" s="29"/>
      <c r="C905" s="29"/>
    </row>
    <row r="906">
      <c r="B906" s="29"/>
      <c r="C906" s="29"/>
    </row>
    <row r="907">
      <c r="B907" s="29"/>
      <c r="C907" s="29"/>
    </row>
    <row r="908">
      <c r="B908" s="29"/>
      <c r="C908" s="29"/>
    </row>
    <row r="909">
      <c r="B909" s="29"/>
      <c r="C909" s="29"/>
    </row>
    <row r="910">
      <c r="B910" s="29"/>
      <c r="C910" s="29"/>
    </row>
    <row r="911">
      <c r="B911" s="29"/>
      <c r="C911" s="29"/>
    </row>
    <row r="912">
      <c r="B912" s="29"/>
      <c r="C912" s="29"/>
    </row>
    <row r="913">
      <c r="B913" s="29"/>
      <c r="C913" s="29"/>
    </row>
    <row r="914">
      <c r="B914" s="29"/>
      <c r="C914" s="29"/>
    </row>
    <row r="915">
      <c r="B915" s="29"/>
      <c r="C915" s="29"/>
    </row>
    <row r="916">
      <c r="B916" s="29"/>
      <c r="C916" s="29"/>
    </row>
    <row r="917">
      <c r="B917" s="29"/>
      <c r="C917" s="29"/>
    </row>
    <row r="918">
      <c r="B918" s="29"/>
      <c r="C918" s="29"/>
    </row>
    <row r="919">
      <c r="B919" s="29"/>
      <c r="C919" s="29"/>
    </row>
    <row r="920">
      <c r="B920" s="29"/>
      <c r="C920" s="29"/>
    </row>
    <row r="921">
      <c r="B921" s="29"/>
      <c r="C921" s="29"/>
    </row>
    <row r="922">
      <c r="B922" s="29"/>
      <c r="C922" s="29"/>
    </row>
    <row r="923">
      <c r="B923" s="29"/>
      <c r="C923" s="29"/>
    </row>
    <row r="924">
      <c r="B924" s="29"/>
      <c r="C924" s="29"/>
    </row>
    <row r="925">
      <c r="B925" s="29"/>
      <c r="C925" s="29"/>
    </row>
    <row r="926">
      <c r="B926" s="29"/>
      <c r="C926" s="29"/>
    </row>
    <row r="927">
      <c r="B927" s="29"/>
      <c r="C927" s="29"/>
    </row>
    <row r="928">
      <c r="B928" s="29"/>
      <c r="C928" s="29"/>
    </row>
    <row r="929">
      <c r="B929" s="29"/>
      <c r="C929" s="29"/>
    </row>
    <row r="930">
      <c r="B930" s="29"/>
      <c r="C930" s="29"/>
    </row>
    <row r="931">
      <c r="B931" s="29"/>
      <c r="C931" s="29"/>
    </row>
    <row r="932">
      <c r="B932" s="29"/>
      <c r="C932" s="29"/>
    </row>
    <row r="933">
      <c r="B933" s="29"/>
      <c r="C933" s="29"/>
    </row>
    <row r="934">
      <c r="B934" s="29"/>
      <c r="C934" s="29"/>
    </row>
    <row r="935">
      <c r="B935" s="29"/>
      <c r="C935" s="29"/>
    </row>
    <row r="936">
      <c r="B936" s="29"/>
      <c r="C936" s="29"/>
    </row>
    <row r="937">
      <c r="B937" s="29"/>
      <c r="C937" s="29"/>
    </row>
    <row r="938">
      <c r="B938" s="29"/>
      <c r="C938" s="29"/>
    </row>
    <row r="939">
      <c r="B939" s="29"/>
      <c r="C939" s="29"/>
    </row>
    <row r="940">
      <c r="B940" s="29"/>
      <c r="C940" s="29"/>
    </row>
    <row r="941">
      <c r="B941" s="29"/>
      <c r="C941" s="29"/>
    </row>
    <row r="942">
      <c r="B942" s="29"/>
      <c r="C942" s="29"/>
    </row>
    <row r="943">
      <c r="B943" s="29"/>
      <c r="C943" s="29"/>
    </row>
    <row r="944">
      <c r="B944" s="29"/>
      <c r="C944" s="29"/>
    </row>
    <row r="945">
      <c r="B945" s="29"/>
      <c r="C945" s="29"/>
    </row>
    <row r="946">
      <c r="B946" s="29"/>
      <c r="C946" s="29"/>
    </row>
    <row r="947">
      <c r="B947" s="29"/>
      <c r="C947" s="29"/>
    </row>
    <row r="948">
      <c r="B948" s="29"/>
      <c r="C948" s="29"/>
    </row>
    <row r="949">
      <c r="B949" s="29"/>
      <c r="C949" s="29"/>
    </row>
    <row r="950">
      <c r="B950" s="29"/>
      <c r="C950" s="29"/>
    </row>
    <row r="951">
      <c r="B951" s="29"/>
      <c r="C951" s="29"/>
    </row>
    <row r="952">
      <c r="B952" s="29"/>
      <c r="C952" s="29"/>
    </row>
    <row r="953">
      <c r="B953" s="29"/>
      <c r="C953" s="29"/>
    </row>
    <row r="954">
      <c r="B954" s="29"/>
      <c r="C954" s="29"/>
    </row>
    <row r="955">
      <c r="B955" s="29"/>
      <c r="C955" s="29"/>
    </row>
    <row r="956">
      <c r="B956" s="29"/>
      <c r="C956" s="29"/>
    </row>
    <row r="957">
      <c r="B957" s="29"/>
      <c r="C957" s="29"/>
    </row>
    <row r="958">
      <c r="B958" s="29"/>
      <c r="C958" s="29"/>
    </row>
    <row r="959">
      <c r="B959" s="29"/>
      <c r="C959" s="29"/>
    </row>
    <row r="960">
      <c r="B960" s="29"/>
      <c r="C960" s="29"/>
    </row>
    <row r="961">
      <c r="B961" s="29"/>
      <c r="C961" s="29"/>
    </row>
    <row r="962">
      <c r="B962" s="29"/>
      <c r="C962" s="29"/>
    </row>
    <row r="963">
      <c r="B963" s="29"/>
      <c r="C963" s="29"/>
    </row>
    <row r="964">
      <c r="B964" s="29"/>
      <c r="C964" s="29"/>
    </row>
    <row r="965">
      <c r="B965" s="29"/>
      <c r="C965" s="29"/>
    </row>
    <row r="966">
      <c r="B966" s="29"/>
      <c r="C966" s="29"/>
    </row>
    <row r="967">
      <c r="B967" s="29"/>
      <c r="C967" s="29"/>
    </row>
    <row r="968">
      <c r="B968" s="29"/>
      <c r="C968" s="29"/>
    </row>
    <row r="969">
      <c r="B969" s="29"/>
      <c r="C969" s="29"/>
    </row>
    <row r="970">
      <c r="B970" s="29"/>
      <c r="C970" s="29"/>
    </row>
    <row r="971">
      <c r="B971" s="29"/>
      <c r="C971" s="29"/>
    </row>
    <row r="972">
      <c r="B972" s="29"/>
      <c r="C972" s="29"/>
    </row>
    <row r="973">
      <c r="B973" s="29"/>
      <c r="C973" s="29"/>
    </row>
    <row r="974">
      <c r="B974" s="29"/>
      <c r="C974" s="29"/>
    </row>
    <row r="975">
      <c r="B975" s="29"/>
      <c r="C975" s="29"/>
    </row>
    <row r="976">
      <c r="B976" s="29"/>
      <c r="C976" s="29"/>
    </row>
    <row r="977">
      <c r="B977" s="29"/>
      <c r="C977" s="29"/>
    </row>
    <row r="978">
      <c r="B978" s="29"/>
      <c r="C978" s="29"/>
    </row>
    <row r="979">
      <c r="B979" s="29"/>
      <c r="C979" s="29"/>
    </row>
    <row r="980">
      <c r="B980" s="29"/>
      <c r="C980" s="29"/>
    </row>
    <row r="981">
      <c r="B981" s="29"/>
      <c r="C981" s="29"/>
    </row>
    <row r="982">
      <c r="B982" s="29"/>
      <c r="C982" s="29"/>
    </row>
    <row r="983">
      <c r="B983" s="29"/>
      <c r="C983" s="29"/>
    </row>
    <row r="984">
      <c r="B984" s="29"/>
      <c r="C984" s="29"/>
    </row>
    <row r="985">
      <c r="B985" s="29"/>
      <c r="C985" s="29"/>
    </row>
    <row r="986">
      <c r="B986" s="29"/>
      <c r="C986" s="29"/>
    </row>
    <row r="987">
      <c r="B987" s="29"/>
      <c r="C987" s="29"/>
    </row>
    <row r="988">
      <c r="B988" s="29"/>
      <c r="C988" s="29"/>
    </row>
    <row r="989">
      <c r="B989" s="29"/>
      <c r="C989" s="29"/>
    </row>
    <row r="990">
      <c r="B990" s="29"/>
      <c r="C990" s="29"/>
    </row>
    <row r="991">
      <c r="B991" s="29"/>
      <c r="C991" s="29"/>
    </row>
    <row r="992">
      <c r="B992" s="29"/>
      <c r="C992" s="29"/>
    </row>
    <row r="993">
      <c r="B993" s="29"/>
      <c r="C993" s="29"/>
    </row>
    <row r="994">
      <c r="B994" s="29"/>
      <c r="C994" s="29"/>
    </row>
    <row r="995">
      <c r="B995" s="29"/>
      <c r="C995" s="29"/>
    </row>
    <row r="996">
      <c r="B996" s="29"/>
      <c r="C996" s="29"/>
    </row>
    <row r="997">
      <c r="B997" s="29"/>
      <c r="C997" s="29"/>
    </row>
    <row r="998">
      <c r="B998" s="29"/>
      <c r="C998" s="29"/>
    </row>
    <row r="999">
      <c r="B999" s="29"/>
      <c r="C999" s="29"/>
    </row>
    <row r="1000">
      <c r="B1000" s="29"/>
      <c r="C1000" s="29"/>
    </row>
    <row r="1001">
      <c r="B1001" s="29"/>
      <c r="C1001" s="2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26" t="s">
        <v>55</v>
      </c>
    </row>
    <row r="2">
      <c r="A2" s="33" t="s">
        <v>56</v>
      </c>
      <c r="B2" s="26"/>
      <c r="C2" s="26"/>
    </row>
    <row r="3">
      <c r="B3" s="26" t="s">
        <v>57</v>
      </c>
      <c r="C3" s="26" t="s">
        <v>58</v>
      </c>
      <c r="D3" s="26" t="s">
        <v>59</v>
      </c>
    </row>
    <row r="4">
      <c r="A4" s="33" t="s">
        <v>36</v>
      </c>
      <c r="B4" s="28">
        <v>2.0521966E7</v>
      </c>
      <c r="C4" s="28">
        <v>3413336.0</v>
      </c>
      <c r="E4" s="41"/>
    </row>
    <row r="5">
      <c r="A5" s="33" t="s">
        <v>37</v>
      </c>
      <c r="B5" s="28">
        <v>7686087.0</v>
      </c>
      <c r="C5" s="28">
        <v>802485.0</v>
      </c>
      <c r="E5" s="33" t="s">
        <v>60</v>
      </c>
    </row>
    <row r="6">
      <c r="A6" s="33" t="s">
        <v>46</v>
      </c>
      <c r="B6" s="42">
        <v>1.6944E7</v>
      </c>
      <c r="C6" s="28">
        <v>2071792.0</v>
      </c>
      <c r="E6" s="33" t="s">
        <v>61</v>
      </c>
    </row>
    <row r="8">
      <c r="A8" s="26" t="s">
        <v>12</v>
      </c>
      <c r="B8" s="35">
        <f>sum(B4:B7)</f>
        <v>45152053</v>
      </c>
      <c r="C8" s="25"/>
      <c r="D8" s="35">
        <f>'Growth Chart'!J2-'Growth Chart'!B2</f>
        <v>246700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D9" s="43">
        <f>D8/B8</f>
        <v>0.005463760419</v>
      </c>
    </row>
    <row r="11">
      <c r="A11" s="33" t="s">
        <v>50</v>
      </c>
      <c r="B11" s="28">
        <v>1050592.0</v>
      </c>
      <c r="C11" s="28">
        <v>3451.0</v>
      </c>
      <c r="E11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3" width="14.88"/>
    <col customWidth="1" min="4" max="4" width="16.88"/>
  </cols>
  <sheetData>
    <row r="1">
      <c r="A1" s="26" t="s">
        <v>0</v>
      </c>
      <c r="B1" s="26" t="s">
        <v>52</v>
      </c>
      <c r="C1" s="26" t="s">
        <v>62</v>
      </c>
      <c r="H1" s="26" t="s">
        <v>63</v>
      </c>
    </row>
    <row r="2">
      <c r="A2" s="33" t="s">
        <v>64</v>
      </c>
      <c r="B2" s="34">
        <v>0.0157</v>
      </c>
      <c r="C2" s="34">
        <v>0.075</v>
      </c>
      <c r="D2" s="33" t="s">
        <v>65</v>
      </c>
      <c r="E2" s="34"/>
      <c r="G2" s="26" t="s">
        <v>64</v>
      </c>
      <c r="H2" s="28">
        <v>572700.0</v>
      </c>
    </row>
    <row r="3">
      <c r="A3" s="33" t="s">
        <v>66</v>
      </c>
      <c r="B3" s="34">
        <v>0.0141</v>
      </c>
      <c r="C3" s="34">
        <v>0.062</v>
      </c>
      <c r="D3" s="33" t="s">
        <v>67</v>
      </c>
      <c r="E3" s="34"/>
      <c r="G3" s="26" t="s">
        <v>66</v>
      </c>
      <c r="H3" s="28">
        <v>384000.0</v>
      </c>
    </row>
    <row r="4">
      <c r="A4" s="33" t="s">
        <v>68</v>
      </c>
      <c r="B4" s="34">
        <v>0.0102</v>
      </c>
      <c r="C4" s="34">
        <v>0.052</v>
      </c>
      <c r="D4" s="33" t="s">
        <v>69</v>
      </c>
      <c r="E4" s="34"/>
      <c r="G4" s="26" t="s">
        <v>68</v>
      </c>
      <c r="H4" s="28">
        <v>590000.0</v>
      </c>
    </row>
    <row r="5">
      <c r="A5" s="33" t="s">
        <v>70</v>
      </c>
      <c r="B5" s="34">
        <v>0.0075</v>
      </c>
      <c r="C5" s="34">
        <v>0.04</v>
      </c>
      <c r="D5" s="33" t="s">
        <v>71</v>
      </c>
      <c r="E5" s="34"/>
      <c r="G5" s="26" t="s">
        <v>70</v>
      </c>
      <c r="H5" s="28">
        <v>381000.0</v>
      </c>
    </row>
    <row r="6">
      <c r="H6" s="35">
        <f>SUM(H2:H5)</f>
        <v>1927700</v>
      </c>
    </row>
    <row r="8">
      <c r="B8" s="27">
        <v>1.0</v>
      </c>
      <c r="C8" s="27">
        <v>2.0</v>
      </c>
      <c r="D8" s="27">
        <v>3.0</v>
      </c>
      <c r="E8" s="27">
        <v>4.0</v>
      </c>
      <c r="F8" s="27">
        <v>5.0</v>
      </c>
      <c r="G8" s="27">
        <v>6.0</v>
      </c>
      <c r="H8" s="27">
        <v>7.0</v>
      </c>
      <c r="I8" s="27">
        <v>8.0</v>
      </c>
      <c r="J8" s="27">
        <v>9.0</v>
      </c>
      <c r="K8" s="27">
        <v>10.0</v>
      </c>
      <c r="L8" s="27">
        <v>11.0</v>
      </c>
      <c r="M8" s="27">
        <v>12.0</v>
      </c>
    </row>
    <row r="9">
      <c r="A9" s="26" t="s">
        <v>64</v>
      </c>
      <c r="B9" s="29">
        <f>H2*(1+$C$2)</f>
        <v>615652.5</v>
      </c>
      <c r="C9" s="29">
        <f t="shared" ref="C9:M9" si="1">B9*(1+$C$2)</f>
        <v>661826.4375</v>
      </c>
      <c r="D9" s="29">
        <f t="shared" si="1"/>
        <v>711463.4203</v>
      </c>
      <c r="E9" s="29">
        <f t="shared" si="1"/>
        <v>764823.1768</v>
      </c>
      <c r="F9" s="29">
        <f t="shared" si="1"/>
        <v>822184.9151</v>
      </c>
      <c r="G9" s="29">
        <f t="shared" si="1"/>
        <v>883848.7837</v>
      </c>
      <c r="H9" s="29">
        <f t="shared" si="1"/>
        <v>950137.4425</v>
      </c>
      <c r="I9" s="29">
        <f t="shared" si="1"/>
        <v>1021397.751</v>
      </c>
      <c r="J9" s="29">
        <f t="shared" si="1"/>
        <v>1098002.582</v>
      </c>
      <c r="K9" s="29">
        <f t="shared" si="1"/>
        <v>1180352.776</v>
      </c>
      <c r="L9" s="29">
        <f t="shared" si="1"/>
        <v>1268879.234</v>
      </c>
      <c r="M9" s="29">
        <f t="shared" si="1"/>
        <v>1364045.176</v>
      </c>
    </row>
    <row r="10">
      <c r="A10" s="26" t="s">
        <v>66</v>
      </c>
      <c r="B10" s="29">
        <f>H3*(1+$C$3)</f>
        <v>407808</v>
      </c>
      <c r="C10" s="29">
        <f t="shared" ref="C10:M10" si="2">B10*(1+$C$3)</f>
        <v>433092.096</v>
      </c>
      <c r="D10" s="29">
        <f t="shared" si="2"/>
        <v>459943.806</v>
      </c>
      <c r="E10" s="29">
        <f t="shared" si="2"/>
        <v>488460.3219</v>
      </c>
      <c r="F10" s="29">
        <f t="shared" si="2"/>
        <v>518744.8619</v>
      </c>
      <c r="G10" s="29">
        <f t="shared" si="2"/>
        <v>550907.0433</v>
      </c>
      <c r="H10" s="29">
        <f t="shared" si="2"/>
        <v>585063.28</v>
      </c>
      <c r="I10" s="29">
        <f t="shared" si="2"/>
        <v>621337.2034</v>
      </c>
      <c r="J10" s="29">
        <f t="shared" si="2"/>
        <v>659860.11</v>
      </c>
      <c r="K10" s="29">
        <f t="shared" si="2"/>
        <v>700771.4368</v>
      </c>
      <c r="L10" s="29">
        <f t="shared" si="2"/>
        <v>744219.2659</v>
      </c>
      <c r="M10" s="29">
        <f t="shared" si="2"/>
        <v>790360.8604</v>
      </c>
    </row>
    <row r="11">
      <c r="A11" s="26" t="s">
        <v>68</v>
      </c>
      <c r="B11" s="29">
        <f>H4*(1+$C$4)</f>
        <v>620680</v>
      </c>
      <c r="C11" s="29">
        <f t="shared" ref="C11:M11" si="3">B11*(1+$C$4)</f>
        <v>652955.36</v>
      </c>
      <c r="D11" s="29">
        <f t="shared" si="3"/>
        <v>686909.0387</v>
      </c>
      <c r="E11" s="29">
        <f t="shared" si="3"/>
        <v>722628.3087</v>
      </c>
      <c r="F11" s="29">
        <f t="shared" si="3"/>
        <v>760204.9808</v>
      </c>
      <c r="G11" s="29">
        <f t="shared" si="3"/>
        <v>799735.6398</v>
      </c>
      <c r="H11" s="29">
        <f t="shared" si="3"/>
        <v>841321.8931</v>
      </c>
      <c r="I11" s="29">
        <f t="shared" si="3"/>
        <v>885070.6315</v>
      </c>
      <c r="J11" s="29">
        <f t="shared" si="3"/>
        <v>931094.3043</v>
      </c>
      <c r="K11" s="29">
        <f t="shared" si="3"/>
        <v>979511.2082</v>
      </c>
      <c r="L11" s="29">
        <f t="shared" si="3"/>
        <v>1030445.791</v>
      </c>
      <c r="M11" s="29">
        <f t="shared" si="3"/>
        <v>1084028.972</v>
      </c>
    </row>
    <row r="12">
      <c r="A12" s="26" t="s">
        <v>70</v>
      </c>
      <c r="B12" s="29">
        <f>H5*(1+$C$5)</f>
        <v>396240</v>
      </c>
      <c r="C12" s="29">
        <f t="shared" ref="C12:M12" si="4">B12*(1+$C$5)</f>
        <v>412089.6</v>
      </c>
      <c r="D12" s="29">
        <f t="shared" si="4"/>
        <v>428573.184</v>
      </c>
      <c r="E12" s="29">
        <f t="shared" si="4"/>
        <v>445716.1114</v>
      </c>
      <c r="F12" s="29">
        <f t="shared" si="4"/>
        <v>463544.7558</v>
      </c>
      <c r="G12" s="29">
        <f t="shared" si="4"/>
        <v>482086.546</v>
      </c>
      <c r="H12" s="29">
        <f t="shared" si="4"/>
        <v>501370.0079</v>
      </c>
      <c r="I12" s="29">
        <f t="shared" si="4"/>
        <v>521424.8082</v>
      </c>
      <c r="J12" s="29">
        <f t="shared" si="4"/>
        <v>542281.8005</v>
      </c>
      <c r="K12" s="29">
        <f t="shared" si="4"/>
        <v>563973.0726</v>
      </c>
      <c r="L12" s="29">
        <f t="shared" si="4"/>
        <v>586531.9955</v>
      </c>
      <c r="M12" s="29">
        <f t="shared" si="4"/>
        <v>609993.2753</v>
      </c>
    </row>
    <row r="13">
      <c r="M13" s="35">
        <f>SUM(M9:M12)</f>
        <v>3848428.284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72</v>
      </c>
      <c r="B1" s="45" t="s">
        <v>73</v>
      </c>
      <c r="C1" s="45" t="s">
        <v>74</v>
      </c>
      <c r="D1" s="45" t="s">
        <v>75</v>
      </c>
      <c r="E1" s="45" t="s">
        <v>76</v>
      </c>
      <c r="F1" s="45" t="s">
        <v>24</v>
      </c>
      <c r="G1" s="45" t="s">
        <v>77</v>
      </c>
      <c r="H1" s="45" t="s">
        <v>78</v>
      </c>
      <c r="I1" s="45" t="s">
        <v>79</v>
      </c>
      <c r="J1" s="45" t="s">
        <v>80</v>
      </c>
      <c r="K1" s="45" t="s">
        <v>81</v>
      </c>
      <c r="L1" s="45" t="s">
        <v>82</v>
      </c>
      <c r="M1" s="45" t="s">
        <v>83</v>
      </c>
    </row>
    <row r="2">
      <c r="A2" s="33" t="s">
        <v>84</v>
      </c>
      <c r="B2" s="33" t="s">
        <v>85</v>
      </c>
      <c r="C2" s="33" t="s">
        <v>86</v>
      </c>
      <c r="D2" s="33" t="s">
        <v>87</v>
      </c>
      <c r="E2" s="33" t="s">
        <v>88</v>
      </c>
      <c r="F2" s="33" t="s">
        <v>89</v>
      </c>
      <c r="G2" s="33" t="s">
        <v>90</v>
      </c>
      <c r="H2" s="33" t="s">
        <v>91</v>
      </c>
      <c r="I2" s="33" t="s">
        <v>92</v>
      </c>
      <c r="J2" s="33" t="s">
        <v>93</v>
      </c>
      <c r="K2" s="33" t="s">
        <v>94</v>
      </c>
      <c r="L2" s="33" t="s">
        <v>95</v>
      </c>
      <c r="M2" s="33" t="s">
        <v>96</v>
      </c>
    </row>
    <row r="3">
      <c r="A3" s="33" t="s">
        <v>97</v>
      </c>
      <c r="B3" s="33" t="s">
        <v>98</v>
      </c>
      <c r="C3" s="33" t="s">
        <v>99</v>
      </c>
      <c r="D3" s="33" t="s">
        <v>100</v>
      </c>
      <c r="E3" s="33" t="s">
        <v>101</v>
      </c>
      <c r="F3" s="33" t="s">
        <v>102</v>
      </c>
      <c r="G3" s="33" t="s">
        <v>103</v>
      </c>
      <c r="H3" s="33" t="s">
        <v>104</v>
      </c>
      <c r="I3" s="33" t="s">
        <v>105</v>
      </c>
      <c r="J3" s="33" t="s">
        <v>106</v>
      </c>
      <c r="K3" s="33" t="s">
        <v>107</v>
      </c>
      <c r="L3" s="33" t="s">
        <v>108</v>
      </c>
      <c r="M3" s="33" t="s">
        <v>109</v>
      </c>
    </row>
    <row r="4">
      <c r="A4" s="33" t="s">
        <v>110</v>
      </c>
      <c r="B4" s="33" t="s">
        <v>111</v>
      </c>
      <c r="C4" s="33" t="s">
        <v>112</v>
      </c>
      <c r="D4" s="33" t="s">
        <v>113</v>
      </c>
      <c r="E4" s="33" t="s">
        <v>114</v>
      </c>
      <c r="F4" s="33" t="s">
        <v>115</v>
      </c>
      <c r="G4" s="33" t="s">
        <v>116</v>
      </c>
      <c r="H4" s="33" t="s">
        <v>117</v>
      </c>
      <c r="I4" s="33" t="s">
        <v>118</v>
      </c>
      <c r="J4" s="33" t="s">
        <v>119</v>
      </c>
      <c r="K4" s="33" t="s">
        <v>120</v>
      </c>
      <c r="L4" s="33" t="s">
        <v>121</v>
      </c>
      <c r="M4" s="33" t="s">
        <v>122</v>
      </c>
    </row>
    <row r="5">
      <c r="A5" s="33" t="s">
        <v>123</v>
      </c>
      <c r="B5" s="33" t="s">
        <v>124</v>
      </c>
      <c r="C5" s="33" t="s">
        <v>125</v>
      </c>
      <c r="D5" s="33" t="s">
        <v>100</v>
      </c>
      <c r="E5" s="33" t="s">
        <v>126</v>
      </c>
      <c r="F5" s="33" t="s">
        <v>127</v>
      </c>
      <c r="G5" s="33" t="s">
        <v>128</v>
      </c>
      <c r="H5" s="33" t="s">
        <v>129</v>
      </c>
      <c r="I5" s="33" t="s">
        <v>130</v>
      </c>
      <c r="J5" s="33" t="s">
        <v>131</v>
      </c>
      <c r="K5" s="33" t="s">
        <v>132</v>
      </c>
      <c r="L5" s="33" t="s">
        <v>133</v>
      </c>
      <c r="M5" s="33" t="s">
        <v>134</v>
      </c>
    </row>
    <row r="6">
      <c r="A6" s="33" t="s">
        <v>12</v>
      </c>
      <c r="B6" s="33" t="s">
        <v>135</v>
      </c>
      <c r="C6" s="33" t="s">
        <v>136</v>
      </c>
      <c r="D6" s="33" t="s">
        <v>137</v>
      </c>
      <c r="E6" s="33" t="s">
        <v>138</v>
      </c>
      <c r="F6" s="33" t="s">
        <v>139</v>
      </c>
      <c r="G6" s="33" t="s">
        <v>140</v>
      </c>
      <c r="H6" s="33" t="s">
        <v>141</v>
      </c>
      <c r="I6" s="33" t="s">
        <v>142</v>
      </c>
      <c r="J6" s="33" t="s">
        <v>143</v>
      </c>
      <c r="K6" s="33" t="s">
        <v>144</v>
      </c>
      <c r="L6" s="33" t="s">
        <v>145</v>
      </c>
      <c r="M6" s="33" t="s">
        <v>146</v>
      </c>
    </row>
    <row r="7">
      <c r="A7" s="46"/>
      <c r="B7" s="47"/>
      <c r="C7" s="47"/>
      <c r="D7" s="47"/>
      <c r="E7" s="47"/>
      <c r="F7" s="47"/>
      <c r="G7" s="46"/>
      <c r="H7" s="47"/>
      <c r="I7" s="47"/>
      <c r="J7" s="47"/>
      <c r="K7" s="47"/>
      <c r="L7" s="47"/>
      <c r="M7" s="47"/>
    </row>
    <row r="8">
      <c r="A8" s="45" t="s">
        <v>72</v>
      </c>
      <c r="B8" s="45" t="s">
        <v>73</v>
      </c>
      <c r="C8" s="45" t="s">
        <v>74</v>
      </c>
      <c r="D8" s="45" t="s">
        <v>75</v>
      </c>
      <c r="E8" s="45" t="s">
        <v>76</v>
      </c>
      <c r="F8" s="45" t="s">
        <v>24</v>
      </c>
      <c r="G8" s="45" t="s">
        <v>77</v>
      </c>
      <c r="H8" s="45" t="s">
        <v>78</v>
      </c>
      <c r="I8" s="45" t="s">
        <v>79</v>
      </c>
      <c r="J8" s="45" t="s">
        <v>80</v>
      </c>
      <c r="K8" s="45" t="s">
        <v>81</v>
      </c>
      <c r="L8" s="45" t="s">
        <v>82</v>
      </c>
      <c r="M8" s="45" t="s">
        <v>83</v>
      </c>
    </row>
    <row r="9">
      <c r="A9" s="33" t="s">
        <v>84</v>
      </c>
      <c r="B9" s="28">
        <v>574000.0</v>
      </c>
      <c r="C9" s="28">
        <v>621000.0</v>
      </c>
      <c r="D9" s="28">
        <v>672000.0</v>
      </c>
      <c r="E9" s="28">
        <v>727000.0</v>
      </c>
      <c r="F9" s="28">
        <v>787000.0</v>
      </c>
      <c r="G9" s="28">
        <v>852000.0</v>
      </c>
      <c r="H9" s="28">
        <v>921000.0</v>
      </c>
      <c r="I9" s="28">
        <v>997000.0</v>
      </c>
      <c r="J9" s="28">
        <v>1079000.0</v>
      </c>
      <c r="K9" s="28">
        <v>1167000.0</v>
      </c>
      <c r="L9" s="28">
        <v>1263000.0</v>
      </c>
      <c r="M9" s="28">
        <v>1366000.0</v>
      </c>
      <c r="N9" s="30">
        <f t="shared" ref="N9:N13" si="1">(M9-B9)/B9</f>
        <v>1.379790941</v>
      </c>
    </row>
    <row r="10">
      <c r="A10" s="33" t="s">
        <v>97</v>
      </c>
      <c r="B10" s="28">
        <v>385000.0</v>
      </c>
      <c r="C10" s="28">
        <v>408000.0</v>
      </c>
      <c r="D10" s="28">
        <v>432000.0</v>
      </c>
      <c r="E10" s="28">
        <v>458000.0</v>
      </c>
      <c r="F10" s="28">
        <v>485000.0</v>
      </c>
      <c r="G10" s="28">
        <v>513000.0</v>
      </c>
      <c r="H10" s="28">
        <v>544000.0</v>
      </c>
      <c r="I10" s="28">
        <v>576000.0</v>
      </c>
      <c r="J10" s="28">
        <v>610000.0</v>
      </c>
      <c r="K10" s="28">
        <v>646000.0</v>
      </c>
      <c r="L10" s="28">
        <v>684000.0</v>
      </c>
      <c r="M10" s="28">
        <v>724000.0</v>
      </c>
      <c r="N10" s="30">
        <f t="shared" si="1"/>
        <v>0.8805194805</v>
      </c>
    </row>
    <row r="11">
      <c r="A11" s="33" t="s">
        <v>147</v>
      </c>
      <c r="B11" s="28">
        <v>593000.0</v>
      </c>
      <c r="C11" s="28">
        <v>623000.0</v>
      </c>
      <c r="D11" s="28">
        <v>654000.0</v>
      </c>
      <c r="E11" s="28">
        <v>687000.0</v>
      </c>
      <c r="F11" s="28">
        <v>721000.0</v>
      </c>
      <c r="G11" s="28">
        <v>757000.0</v>
      </c>
      <c r="H11" s="28">
        <v>795000.0</v>
      </c>
      <c r="I11" s="28">
        <v>835000.0</v>
      </c>
      <c r="J11" s="28">
        <v>876000.0</v>
      </c>
      <c r="K11" s="28">
        <v>920000.0</v>
      </c>
      <c r="L11" s="28">
        <v>966000.0</v>
      </c>
      <c r="M11" s="28">
        <v>1015000.0</v>
      </c>
      <c r="N11" s="30">
        <f t="shared" si="1"/>
        <v>0.7116357504</v>
      </c>
    </row>
    <row r="12">
      <c r="A12" s="33" t="s">
        <v>123</v>
      </c>
      <c r="B12" s="28">
        <v>382000.0</v>
      </c>
      <c r="C12" s="28">
        <v>406000.0</v>
      </c>
      <c r="D12" s="28">
        <v>432000.0</v>
      </c>
      <c r="E12" s="28">
        <v>460000.0</v>
      </c>
      <c r="F12" s="28">
        <v>490000.0</v>
      </c>
      <c r="G12" s="28">
        <v>521000.0</v>
      </c>
      <c r="H12" s="28">
        <v>554000.0</v>
      </c>
      <c r="I12" s="28">
        <v>590000.0</v>
      </c>
      <c r="J12" s="28">
        <v>627000.0</v>
      </c>
      <c r="K12" s="28">
        <v>668000.0</v>
      </c>
      <c r="L12" s="28">
        <v>710000.0</v>
      </c>
      <c r="M12" s="28">
        <v>756000.0</v>
      </c>
      <c r="N12" s="30">
        <f t="shared" si="1"/>
        <v>0.9790575916</v>
      </c>
    </row>
    <row r="13">
      <c r="A13" s="33" t="s">
        <v>12</v>
      </c>
      <c r="B13" s="28">
        <v>1934000.0</v>
      </c>
      <c r="C13" s="28">
        <v>2058000.0</v>
      </c>
      <c r="D13" s="28">
        <v>2190000.0</v>
      </c>
      <c r="E13" s="28">
        <v>2332000.0</v>
      </c>
      <c r="F13" s="28">
        <v>2483000.0</v>
      </c>
      <c r="G13" s="28">
        <v>2643000.0</v>
      </c>
      <c r="H13" s="28">
        <v>2814000.0</v>
      </c>
      <c r="I13" s="28">
        <v>2998000.0</v>
      </c>
      <c r="J13" s="28">
        <v>3192000.0</v>
      </c>
      <c r="K13" s="28">
        <v>3401000.0</v>
      </c>
      <c r="L13" s="28">
        <v>3623000.0</v>
      </c>
      <c r="M13" s="28">
        <v>3861000.0</v>
      </c>
      <c r="N13" s="30">
        <f t="shared" si="1"/>
        <v>0.9963805584</v>
      </c>
    </row>
    <row r="15">
      <c r="A15" s="48" t="s">
        <v>72</v>
      </c>
      <c r="B15" s="49">
        <v>46023.0</v>
      </c>
      <c r="C15" s="48" t="s">
        <v>74</v>
      </c>
      <c r="D15" s="48" t="s">
        <v>75</v>
      </c>
      <c r="E15" s="48" t="s">
        <v>76</v>
      </c>
      <c r="F15" s="48" t="s">
        <v>24</v>
      </c>
      <c r="G15" s="48" t="s">
        <v>77</v>
      </c>
      <c r="H15" s="48" t="s">
        <v>78</v>
      </c>
      <c r="I15" s="48" t="s">
        <v>79</v>
      </c>
      <c r="J15" s="48" t="s">
        <v>80</v>
      </c>
      <c r="K15" s="48" t="s">
        <v>81</v>
      </c>
      <c r="L15" s="48" t="s">
        <v>82</v>
      </c>
      <c r="M15" s="49">
        <v>46357.0</v>
      </c>
    </row>
    <row r="16">
      <c r="A16" s="50" t="s">
        <v>12</v>
      </c>
      <c r="B16" s="28">
        <v>1934000.0</v>
      </c>
      <c r="C16" s="28">
        <v>2058000.0</v>
      </c>
      <c r="D16" s="28">
        <v>2190000.0</v>
      </c>
      <c r="E16" s="28">
        <v>2332000.0</v>
      </c>
      <c r="F16" s="28">
        <v>2483000.0</v>
      </c>
      <c r="G16" s="28">
        <v>2643000.0</v>
      </c>
      <c r="H16" s="28">
        <v>2814000.0</v>
      </c>
      <c r="I16" s="28">
        <v>2998000.0</v>
      </c>
      <c r="J16" s="28">
        <v>3192000.0</v>
      </c>
      <c r="K16" s="28">
        <v>3401000.0</v>
      </c>
      <c r="L16" s="28">
        <v>3623000.0</v>
      </c>
      <c r="M16" s="28">
        <v>3861000.0</v>
      </c>
    </row>
    <row r="17">
      <c r="A17" s="45"/>
    </row>
    <row r="18">
      <c r="A18" s="45"/>
    </row>
    <row r="19">
      <c r="A19" s="45"/>
    </row>
    <row r="21">
      <c r="A21" s="45"/>
      <c r="B21" s="51"/>
      <c r="C21" s="51"/>
      <c r="D21" s="51"/>
      <c r="E21" s="51"/>
      <c r="F21" s="52"/>
      <c r="G21" s="51"/>
      <c r="H21" s="51"/>
      <c r="I21" s="51"/>
      <c r="J21" s="51"/>
      <c r="K21" s="51"/>
      <c r="L21" s="51"/>
      <c r="M21" s="51"/>
    </row>
    <row r="22">
      <c r="A22" s="45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>
      <c r="A23" s="45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</row>
    <row r="24">
      <c r="A24" s="45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>
      <c r="A25" s="45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6" max="6" width="13.0"/>
    <col customWidth="1" min="10" max="10" width="25.5"/>
    <col customWidth="1" min="18" max="18" width="13.13"/>
    <col customWidth="1" min="20" max="20" width="13.13"/>
  </cols>
  <sheetData>
    <row r="1">
      <c r="A1" s="53" t="s">
        <v>148</v>
      </c>
      <c r="C1" s="53"/>
      <c r="D1" s="53"/>
      <c r="E1" s="53"/>
      <c r="F1" s="54"/>
      <c r="G1" s="54"/>
      <c r="H1" s="54"/>
      <c r="I1" s="54"/>
      <c r="J1" s="55" t="s">
        <v>149</v>
      </c>
      <c r="N1" s="53"/>
      <c r="O1" s="53"/>
      <c r="P1" s="53"/>
      <c r="Q1" s="54"/>
      <c r="R1" s="56" t="s">
        <v>46</v>
      </c>
      <c r="S1" s="54"/>
      <c r="T1" s="54"/>
      <c r="U1" s="54"/>
      <c r="V1" s="54"/>
      <c r="W1" s="54"/>
      <c r="X1" s="54"/>
      <c r="Y1" s="54"/>
      <c r="Z1" s="54"/>
      <c r="AA1" s="54"/>
      <c r="AB1" s="54"/>
    </row>
    <row r="2">
      <c r="A2" s="57"/>
      <c r="B2" s="58"/>
      <c r="C2" s="58"/>
      <c r="D2" s="58"/>
      <c r="E2" s="58"/>
      <c r="L2" s="58"/>
      <c r="M2" s="58"/>
      <c r="N2" s="58"/>
      <c r="O2" s="58"/>
      <c r="P2" s="58"/>
      <c r="R2" s="59"/>
      <c r="S2" s="58" t="s">
        <v>150</v>
      </c>
      <c r="U2" s="58" t="s">
        <v>151</v>
      </c>
      <c r="W2" s="58" t="s">
        <v>152</v>
      </c>
      <c r="Y2" s="58" t="s">
        <v>153</v>
      </c>
      <c r="AA2" s="58" t="s">
        <v>154</v>
      </c>
    </row>
    <row r="3">
      <c r="A3" s="57"/>
      <c r="B3" s="58" t="s">
        <v>155</v>
      </c>
      <c r="C3" s="58" t="s">
        <v>156</v>
      </c>
      <c r="D3" s="48" t="s">
        <v>157</v>
      </c>
      <c r="E3" s="58" t="s">
        <v>158</v>
      </c>
      <c r="F3" s="58" t="s">
        <v>159</v>
      </c>
      <c r="L3" s="58" t="s">
        <v>150</v>
      </c>
      <c r="M3" s="58" t="s">
        <v>151</v>
      </c>
      <c r="N3" s="58" t="s">
        <v>152</v>
      </c>
      <c r="O3" s="58" t="s">
        <v>153</v>
      </c>
      <c r="P3" s="58" t="s">
        <v>154</v>
      </c>
      <c r="R3" s="59"/>
      <c r="S3" s="60" t="s">
        <v>160</v>
      </c>
      <c r="T3" s="60" t="s">
        <v>161</v>
      </c>
      <c r="U3" s="60" t="s">
        <v>160</v>
      </c>
      <c r="V3" s="60" t="s">
        <v>161</v>
      </c>
      <c r="W3" s="60" t="s">
        <v>160</v>
      </c>
      <c r="X3" s="60" t="s">
        <v>161</v>
      </c>
      <c r="Y3" s="60" t="s">
        <v>160</v>
      </c>
      <c r="Z3" s="60" t="s">
        <v>161</v>
      </c>
      <c r="AA3" s="60" t="s">
        <v>160</v>
      </c>
      <c r="AB3" s="60" t="s">
        <v>161</v>
      </c>
    </row>
    <row r="4">
      <c r="A4" s="58" t="s">
        <v>162</v>
      </c>
      <c r="B4" s="61">
        <v>2.07007E7</v>
      </c>
      <c r="C4" s="61">
        <f>C17</f>
        <v>21600000</v>
      </c>
      <c r="D4" s="29">
        <f t="shared" ref="D4:D9" si="1">C4-B4</f>
        <v>899300</v>
      </c>
      <c r="E4" s="62">
        <f t="shared" ref="E4:E9" si="2">(C4-B4)/B4</f>
        <v>0.04344297536</v>
      </c>
      <c r="F4" s="63">
        <f t="shared" ref="F4:F9" si="3">(C4/B4)^(1/8)-1</f>
        <v>0.005329878354</v>
      </c>
      <c r="J4" s="58" t="s">
        <v>162</v>
      </c>
      <c r="K4" s="50" t="s">
        <v>163</v>
      </c>
      <c r="L4" s="61">
        <v>15.0</v>
      </c>
      <c r="M4" s="61">
        <v>0.0</v>
      </c>
      <c r="N4" s="61">
        <v>651576.0</v>
      </c>
      <c r="O4" s="64">
        <f t="shared" ref="O4:O6" si="4">N4/L4</f>
        <v>43438.4</v>
      </c>
      <c r="P4" s="65"/>
      <c r="R4" s="58" t="s">
        <v>162</v>
      </c>
      <c r="S4" s="66">
        <f>L4</f>
        <v>15</v>
      </c>
      <c r="T4" s="66">
        <f>L5</f>
        <v>19</v>
      </c>
      <c r="U4" s="66" t="s">
        <v>164</v>
      </c>
      <c r="V4" s="67">
        <f>M5/1000</f>
        <v>5665.5</v>
      </c>
      <c r="W4" s="67">
        <f>N4/1000</f>
        <v>651.576</v>
      </c>
      <c r="X4" s="67">
        <f>N5/1000</f>
        <v>198.774</v>
      </c>
      <c r="Y4" s="67">
        <f>O4/1000</f>
        <v>43.4384</v>
      </c>
      <c r="Z4" s="67">
        <f>O5/1000</f>
        <v>10.46178947</v>
      </c>
      <c r="AA4" s="66" t="s">
        <v>164</v>
      </c>
      <c r="AB4" s="68">
        <f>P5</f>
        <v>0.03508498809</v>
      </c>
    </row>
    <row r="5">
      <c r="A5" s="58" t="s">
        <v>165</v>
      </c>
      <c r="B5" s="61">
        <v>4600000.0</v>
      </c>
      <c r="C5" s="64">
        <v>4880000.0</v>
      </c>
      <c r="D5" s="29">
        <f t="shared" si="1"/>
        <v>280000</v>
      </c>
      <c r="E5" s="62">
        <f t="shared" si="2"/>
        <v>0.06086956522</v>
      </c>
      <c r="F5" s="63">
        <f t="shared" si="3"/>
        <v>0.007413459172</v>
      </c>
      <c r="K5" s="50" t="s">
        <v>166</v>
      </c>
      <c r="L5" s="50">
        <v>19.0</v>
      </c>
      <c r="M5" s="69">
        <v>5665500.0</v>
      </c>
      <c r="N5" s="69">
        <v>198774.0</v>
      </c>
      <c r="O5" s="70">
        <f t="shared" si="4"/>
        <v>10461.78947</v>
      </c>
      <c r="P5" s="71">
        <f>N5/M5</f>
        <v>0.03508498809</v>
      </c>
      <c r="R5" s="58" t="s">
        <v>165</v>
      </c>
      <c r="S5" s="66">
        <f>L16</f>
        <v>94</v>
      </c>
      <c r="T5" s="66">
        <f>L17</f>
        <v>54</v>
      </c>
      <c r="U5" s="66" t="s">
        <v>164</v>
      </c>
      <c r="V5" s="67">
        <f>M17/1000</f>
        <v>13952.6</v>
      </c>
      <c r="W5" s="67">
        <f>N16/1000</f>
        <v>1443.01</v>
      </c>
      <c r="X5" s="67">
        <f>N17/1000</f>
        <v>976.071</v>
      </c>
      <c r="Y5" s="67">
        <f>O16/1000</f>
        <v>15.35117021</v>
      </c>
      <c r="Z5" s="67">
        <f>O17/1000</f>
        <v>18.07538889</v>
      </c>
      <c r="AA5" s="66" t="s">
        <v>164</v>
      </c>
      <c r="AB5" s="68">
        <f>P17</f>
        <v>0.06995620888</v>
      </c>
    </row>
    <row r="6">
      <c r="A6" s="58" t="s">
        <v>167</v>
      </c>
      <c r="B6" s="61">
        <v>2.03E7</v>
      </c>
      <c r="C6" s="70">
        <v>2.14E7</v>
      </c>
      <c r="D6" s="29">
        <f t="shared" si="1"/>
        <v>1100000</v>
      </c>
      <c r="E6" s="62">
        <f t="shared" si="2"/>
        <v>0.05418719212</v>
      </c>
      <c r="F6" s="63">
        <f t="shared" si="3"/>
        <v>0.006618057698</v>
      </c>
      <c r="K6" s="50" t="s">
        <v>168</v>
      </c>
      <c r="L6" s="61">
        <v>16.0</v>
      </c>
      <c r="M6" s="61">
        <v>0.0</v>
      </c>
      <c r="N6" s="61">
        <v>279318.0</v>
      </c>
      <c r="O6" s="70">
        <f t="shared" si="4"/>
        <v>17457.375</v>
      </c>
      <c r="P6" s="63"/>
      <c r="R6" s="58" t="s">
        <v>169</v>
      </c>
      <c r="S6" s="66">
        <f>L28</f>
        <v>88</v>
      </c>
      <c r="T6" s="66">
        <f>L29</f>
        <v>16</v>
      </c>
      <c r="U6" s="66" t="s">
        <v>164</v>
      </c>
      <c r="V6" s="67">
        <f>M29/1000</f>
        <v>6676</v>
      </c>
      <c r="W6" s="67">
        <f>N28/1000</f>
        <v>3263.53</v>
      </c>
      <c r="X6" s="67">
        <f>N29/1000</f>
        <v>402.628</v>
      </c>
      <c r="Y6" s="67">
        <f>O28/1000</f>
        <v>37.08556818</v>
      </c>
      <c r="Z6" s="67">
        <f>O29/1000</f>
        <v>25.16425</v>
      </c>
      <c r="AA6" s="66" t="s">
        <v>164</v>
      </c>
      <c r="AB6" s="68">
        <f>P29</f>
        <v>0.06030976633</v>
      </c>
    </row>
    <row r="7">
      <c r="A7" s="58" t="s">
        <v>170</v>
      </c>
      <c r="B7" s="61">
        <v>2.15E7</v>
      </c>
      <c r="C7" s="61">
        <v>2.39E7</v>
      </c>
      <c r="D7" s="29">
        <f t="shared" si="1"/>
        <v>2400000</v>
      </c>
      <c r="E7" s="62">
        <f t="shared" si="2"/>
        <v>0.111627907</v>
      </c>
      <c r="F7" s="63">
        <f t="shared" si="3"/>
        <v>0.01331607006</v>
      </c>
      <c r="K7" s="50"/>
      <c r="L7" s="50"/>
      <c r="M7" s="69"/>
      <c r="N7" s="69"/>
      <c r="O7" s="69"/>
      <c r="P7" s="71"/>
      <c r="R7" s="58" t="s">
        <v>170</v>
      </c>
      <c r="S7" s="66">
        <f>L40</f>
        <v>50</v>
      </c>
      <c r="T7" s="66">
        <f>L41</f>
        <v>22</v>
      </c>
      <c r="U7" s="66" t="s">
        <v>164</v>
      </c>
      <c r="V7" s="66">
        <f>M41</f>
        <v>62000000</v>
      </c>
      <c r="W7" s="66">
        <f>N40</f>
        <v>3601650</v>
      </c>
      <c r="X7" s="66">
        <f>N41</f>
        <v>4102902</v>
      </c>
      <c r="Y7" s="66">
        <f>O40</f>
        <v>72033</v>
      </c>
      <c r="Z7" s="66">
        <f>O41</f>
        <v>186495.5455</v>
      </c>
      <c r="AA7" s="66" t="s">
        <v>164</v>
      </c>
      <c r="AB7" s="68">
        <f>P41</f>
        <v>0.06617583871</v>
      </c>
    </row>
    <row r="8">
      <c r="A8" s="58" t="s">
        <v>171</v>
      </c>
      <c r="B8" s="61">
        <v>1700000.0</v>
      </c>
      <c r="C8" s="69">
        <v>1879000.0</v>
      </c>
      <c r="D8" s="29">
        <f t="shared" si="1"/>
        <v>179000</v>
      </c>
      <c r="E8" s="62">
        <f t="shared" si="2"/>
        <v>0.1052941176</v>
      </c>
      <c r="F8" s="63">
        <f t="shared" si="3"/>
        <v>0.01259256057</v>
      </c>
      <c r="K8" s="50" t="s">
        <v>172</v>
      </c>
      <c r="L8" s="50">
        <v>26.0</v>
      </c>
      <c r="M8" s="69">
        <v>6110092.0</v>
      </c>
      <c r="N8" s="69">
        <v>72904.0</v>
      </c>
      <c r="O8" s="70">
        <f t="shared" ref="O8:O13" si="5">N8/L8</f>
        <v>2804</v>
      </c>
      <c r="P8" s="71">
        <f t="shared" ref="P8:P11" si="6">N8/M8</f>
        <v>0.01193173523</v>
      </c>
      <c r="R8" s="58" t="s">
        <v>171</v>
      </c>
      <c r="S8" s="66">
        <f>L52</f>
        <v>29</v>
      </c>
      <c r="T8" s="66">
        <f>L53</f>
        <v>39</v>
      </c>
      <c r="U8" s="66" t="s">
        <v>164</v>
      </c>
      <c r="V8" s="66">
        <f>M53</f>
        <v>14667000</v>
      </c>
      <c r="W8" s="66">
        <f>N52</f>
        <v>375426</v>
      </c>
      <c r="X8" s="66">
        <f>N53</f>
        <v>542792</v>
      </c>
      <c r="Y8" s="66">
        <f>O52</f>
        <v>12945.72414</v>
      </c>
      <c r="Z8" s="66">
        <f>O53</f>
        <v>13917.74359</v>
      </c>
      <c r="AA8" s="66" t="s">
        <v>164</v>
      </c>
      <c r="AB8" s="68">
        <f>P53</f>
        <v>0.03700770437</v>
      </c>
    </row>
    <row r="9">
      <c r="A9" s="58" t="s">
        <v>173</v>
      </c>
      <c r="B9" s="61">
        <v>1300000.0</v>
      </c>
      <c r="C9" s="61">
        <v>1552800.0</v>
      </c>
      <c r="D9" s="29">
        <f t="shared" si="1"/>
        <v>252800</v>
      </c>
      <c r="E9" s="62">
        <f t="shared" si="2"/>
        <v>0.1944615385</v>
      </c>
      <c r="F9" s="63">
        <f t="shared" si="3"/>
        <v>0.02246045774</v>
      </c>
      <c r="K9" s="50" t="s">
        <v>36</v>
      </c>
      <c r="L9" s="61">
        <v>23.0</v>
      </c>
      <c r="M9" s="61">
        <v>1.59196E7</v>
      </c>
      <c r="N9" s="61">
        <v>393036.0</v>
      </c>
      <c r="O9" s="64">
        <f t="shared" si="5"/>
        <v>17088.52174</v>
      </c>
      <c r="P9" s="63">
        <f t="shared" si="6"/>
        <v>0.02468881128</v>
      </c>
      <c r="R9" s="58" t="s">
        <v>174</v>
      </c>
      <c r="S9" s="66">
        <f>L64</f>
        <v>71</v>
      </c>
      <c r="T9" s="66">
        <f>L65</f>
        <v>23</v>
      </c>
      <c r="U9" s="66" t="s">
        <v>164</v>
      </c>
      <c r="V9" s="66">
        <f>M65</f>
        <v>8558600</v>
      </c>
      <c r="W9" s="66">
        <f>N64</f>
        <v>602799</v>
      </c>
      <c r="X9" s="66">
        <f>N65</f>
        <v>372551</v>
      </c>
      <c r="Y9" s="66">
        <f>O64</f>
        <v>8490.126761</v>
      </c>
      <c r="Z9" s="66">
        <f>O65</f>
        <v>16197.86957</v>
      </c>
      <c r="AA9" s="66" t="s">
        <v>164</v>
      </c>
      <c r="AB9" s="68">
        <f>P65</f>
        <v>0.04352943238</v>
      </c>
    </row>
    <row r="10">
      <c r="A10" s="58"/>
      <c r="B10" s="61"/>
      <c r="C10" s="64"/>
      <c r="D10" s="62"/>
      <c r="E10" s="63"/>
      <c r="K10" s="50" t="s">
        <v>50</v>
      </c>
      <c r="L10" s="61">
        <v>107.0</v>
      </c>
      <c r="M10" s="61">
        <v>4.1648589E7</v>
      </c>
      <c r="N10" s="61">
        <v>18334.0</v>
      </c>
      <c r="O10" s="64">
        <f t="shared" si="5"/>
        <v>171.3457944</v>
      </c>
      <c r="P10" s="63">
        <f t="shared" si="6"/>
        <v>0.00044020699</v>
      </c>
    </row>
    <row r="11">
      <c r="A11" s="33" t="s">
        <v>175</v>
      </c>
      <c r="B11" s="61"/>
      <c r="C11" s="64"/>
      <c r="D11" s="62"/>
      <c r="E11" s="63"/>
      <c r="K11" s="50" t="s">
        <v>176</v>
      </c>
      <c r="L11" s="50">
        <v>83.0</v>
      </c>
      <c r="M11" s="69">
        <v>4808221.0</v>
      </c>
      <c r="N11" s="69">
        <v>57593.0</v>
      </c>
      <c r="O11" s="64">
        <f t="shared" si="5"/>
        <v>693.8915663</v>
      </c>
      <c r="P11" s="63">
        <f t="shared" si="6"/>
        <v>0.0119780268</v>
      </c>
    </row>
    <row r="12">
      <c r="C12" s="57"/>
      <c r="D12" s="57"/>
      <c r="E12" s="57"/>
      <c r="G12" s="57"/>
      <c r="H12" s="57"/>
      <c r="I12" s="57"/>
      <c r="K12" s="48" t="s">
        <v>177</v>
      </c>
      <c r="L12" s="72">
        <f t="shared" ref="L12:N12" si="7">SUM(L4:L11)</f>
        <v>289</v>
      </c>
      <c r="M12" s="72">
        <f t="shared" si="7"/>
        <v>74152002</v>
      </c>
      <c r="N12" s="72">
        <f t="shared" si="7"/>
        <v>1671535</v>
      </c>
      <c r="O12" s="72">
        <f t="shared" si="5"/>
        <v>5783.858131</v>
      </c>
      <c r="P12" s="47"/>
      <c r="Q12" s="47"/>
      <c r="R12" s="56" t="s">
        <v>50</v>
      </c>
      <c r="S12" s="54"/>
      <c r="T12" s="54"/>
      <c r="U12" s="54"/>
      <c r="V12" s="54"/>
      <c r="W12" s="54"/>
      <c r="X12" s="54"/>
      <c r="Y12" s="54"/>
      <c r="Z12" s="54"/>
      <c r="AA12" s="54"/>
      <c r="AB12" s="54"/>
    </row>
    <row r="13">
      <c r="A13" s="26" t="s">
        <v>178</v>
      </c>
      <c r="G13" s="65"/>
      <c r="H13" s="61"/>
      <c r="I13" s="61"/>
      <c r="K13" s="48" t="s">
        <v>179</v>
      </c>
      <c r="L13" s="70">
        <f>L4+L5+L6+L7+L8+L9</f>
        <v>99</v>
      </c>
      <c r="M13" s="47"/>
      <c r="N13" s="70">
        <f>N4+N5+N6+N7+N8+N9</f>
        <v>1595608</v>
      </c>
      <c r="O13" s="70">
        <f t="shared" si="5"/>
        <v>16117.25253</v>
      </c>
      <c r="P13" s="63"/>
      <c r="Q13" s="47"/>
      <c r="R13" s="59"/>
      <c r="S13" s="58" t="s">
        <v>150</v>
      </c>
      <c r="U13" s="58" t="s">
        <v>151</v>
      </c>
      <c r="W13" s="58" t="s">
        <v>152</v>
      </c>
      <c r="Y13" s="58" t="s">
        <v>153</v>
      </c>
      <c r="AA13" s="58" t="s">
        <v>154</v>
      </c>
    </row>
    <row r="14">
      <c r="A14" s="33" t="s">
        <v>46</v>
      </c>
      <c r="B14" s="33" t="s">
        <v>180</v>
      </c>
      <c r="C14" s="28">
        <f>IFERROR(__xludf.DUMMYFUNCTION("IF(REGEXMATCH(B14, ""K""), SUBSTITUTE(B14, ""K"", """")*1000, IF(REGEXMATCH(B14, ""M""), SUBSTITUTE(B14, ""M"", """")*1000000, (B14*1)))"),3500000.0)</f>
        <v>3500000</v>
      </c>
      <c r="G14" s="65"/>
      <c r="H14" s="61"/>
      <c r="I14" s="61"/>
      <c r="N14" s="61"/>
      <c r="O14" s="57"/>
      <c r="P14" s="47"/>
      <c r="Q14" s="47"/>
      <c r="S14" s="60" t="s">
        <v>181</v>
      </c>
      <c r="T14" s="60" t="s">
        <v>182</v>
      </c>
      <c r="U14" s="60" t="s">
        <v>181</v>
      </c>
      <c r="V14" s="60" t="s">
        <v>182</v>
      </c>
      <c r="W14" s="60" t="s">
        <v>181</v>
      </c>
      <c r="X14" s="60" t="s">
        <v>182</v>
      </c>
      <c r="Y14" s="60" t="s">
        <v>181</v>
      </c>
      <c r="Z14" s="60" t="s">
        <v>182</v>
      </c>
      <c r="AA14" s="60" t="s">
        <v>181</v>
      </c>
      <c r="AB14" s="60" t="s">
        <v>182</v>
      </c>
    </row>
    <row r="15">
      <c r="A15" s="33" t="s">
        <v>37</v>
      </c>
      <c r="B15" s="33" t="s">
        <v>183</v>
      </c>
      <c r="C15" s="28">
        <f>IFERROR(__xludf.DUMMYFUNCTION("IF(REGEXMATCH(B15, ""K""), SUBSTITUTE(B15, ""K"", """")*1000, IF(REGEXMATCH(B15, ""M""), SUBSTITUTE(B15, ""M"", """")*1000000, (B15*1)))"),1.58E7)</f>
        <v>15800000</v>
      </c>
      <c r="G15" s="65"/>
      <c r="H15" s="61"/>
      <c r="I15" s="61"/>
      <c r="L15" s="58" t="s">
        <v>150</v>
      </c>
      <c r="M15" s="58" t="s">
        <v>151</v>
      </c>
      <c r="N15" s="58" t="s">
        <v>152</v>
      </c>
      <c r="O15" s="58" t="s">
        <v>153</v>
      </c>
      <c r="P15" s="58" t="s">
        <v>154</v>
      </c>
      <c r="Q15" s="47"/>
      <c r="R15" s="58" t="s">
        <v>162</v>
      </c>
      <c r="S15" s="70">
        <f>L10</f>
        <v>107</v>
      </c>
      <c r="T15" s="47">
        <f>L11</f>
        <v>83</v>
      </c>
      <c r="U15" s="70">
        <f>M10</f>
        <v>41648589</v>
      </c>
      <c r="V15" s="70">
        <f>M11</f>
        <v>4808221</v>
      </c>
      <c r="W15" s="70">
        <f>N10</f>
        <v>18334</v>
      </c>
      <c r="X15" s="70">
        <f>N11</f>
        <v>57593</v>
      </c>
      <c r="Y15" s="70">
        <f>O10</f>
        <v>171.3457944</v>
      </c>
      <c r="Z15" s="70">
        <f>N11</f>
        <v>57593</v>
      </c>
      <c r="AA15" s="71">
        <f>P10</f>
        <v>0.00044020699</v>
      </c>
      <c r="AB15" s="71">
        <f>P11</f>
        <v>0.0119780268</v>
      </c>
    </row>
    <row r="16">
      <c r="A16" s="33" t="s">
        <v>36</v>
      </c>
      <c r="B16" s="33" t="s">
        <v>184</v>
      </c>
      <c r="C16" s="28">
        <f>IFERROR(__xludf.DUMMYFUNCTION("IF(REGEXMATCH(B16, ""K""), SUBSTITUTE(B16, ""K"", """")*1000, IF(REGEXMATCH(B16, ""M""), SUBSTITUTE(B16, ""M"", """")*1000000, (B16*1)))"),2300000.0)</f>
        <v>2300000</v>
      </c>
      <c r="J16" s="58" t="s">
        <v>165</v>
      </c>
      <c r="K16" s="50" t="s">
        <v>163</v>
      </c>
      <c r="L16" s="65">
        <v>94.0</v>
      </c>
      <c r="M16" s="61">
        <v>0.0</v>
      </c>
      <c r="N16" s="69">
        <v>1443010.0</v>
      </c>
      <c r="O16" s="64">
        <f t="shared" ref="O16:O18" si="8">N16/L16</f>
        <v>15351.17021</v>
      </c>
      <c r="P16" s="47"/>
      <c r="Q16" s="47"/>
      <c r="R16" s="58" t="s">
        <v>165</v>
      </c>
      <c r="S16" s="47">
        <f>L22</f>
        <v>90</v>
      </c>
      <c r="T16" s="50" t="s">
        <v>164</v>
      </c>
      <c r="U16" s="70">
        <f>M22</f>
        <v>8429365</v>
      </c>
      <c r="V16" s="50" t="s">
        <v>164</v>
      </c>
      <c r="W16" s="70">
        <f>N22</f>
        <v>31688</v>
      </c>
      <c r="X16" s="50" t="s">
        <v>164</v>
      </c>
      <c r="Y16" s="70">
        <f>O22</f>
        <v>352.0888889</v>
      </c>
      <c r="Z16" s="50" t="s">
        <v>164</v>
      </c>
      <c r="AA16" s="71">
        <f>P22</f>
        <v>0.003759239278</v>
      </c>
      <c r="AB16" s="50" t="s">
        <v>164</v>
      </c>
    </row>
    <row r="17">
      <c r="C17" s="35">
        <f>SUM(C14:C16)</f>
        <v>21600000</v>
      </c>
      <c r="K17" s="50" t="s">
        <v>166</v>
      </c>
      <c r="L17" s="50">
        <v>54.0</v>
      </c>
      <c r="M17" s="69">
        <v>1.39526E7</v>
      </c>
      <c r="N17" s="69">
        <v>976071.0</v>
      </c>
      <c r="O17" s="70">
        <f t="shared" si="8"/>
        <v>18075.38889</v>
      </c>
      <c r="P17" s="71">
        <f>N17/M17</f>
        <v>0.06995620888</v>
      </c>
      <c r="Q17" s="47"/>
      <c r="R17" s="58" t="s">
        <v>169</v>
      </c>
      <c r="S17" s="47">
        <f>L34</f>
        <v>24</v>
      </c>
      <c r="T17" s="47">
        <f>L35</f>
        <v>26</v>
      </c>
      <c r="U17" s="70">
        <f>M34</f>
        <v>4866349</v>
      </c>
      <c r="V17" s="70">
        <f>M35</f>
        <v>1007223</v>
      </c>
      <c r="W17" s="70">
        <f>N34</f>
        <v>10217</v>
      </c>
      <c r="X17" s="70">
        <f>N35</f>
        <v>23634</v>
      </c>
      <c r="Y17" s="70">
        <f>O34</f>
        <v>425.7083333</v>
      </c>
      <c r="Z17" s="70">
        <f>O35</f>
        <v>909</v>
      </c>
      <c r="AA17" s="71">
        <f>P34</f>
        <v>0.002099520606</v>
      </c>
      <c r="AB17" s="71">
        <f>P35</f>
        <v>0.0234645158</v>
      </c>
    </row>
    <row r="18">
      <c r="A18" s="33" t="s">
        <v>50</v>
      </c>
      <c r="B18" s="33" t="s">
        <v>185</v>
      </c>
      <c r="C18" s="29"/>
      <c r="D18" s="33" t="s">
        <v>186</v>
      </c>
      <c r="K18" s="50" t="s">
        <v>168</v>
      </c>
      <c r="L18" s="50">
        <v>102.0</v>
      </c>
      <c r="M18" s="50">
        <v>0.0</v>
      </c>
      <c r="N18" s="69">
        <v>165960.0</v>
      </c>
      <c r="O18" s="70">
        <f t="shared" si="8"/>
        <v>1627.058824</v>
      </c>
      <c r="P18" s="47"/>
      <c r="Q18" s="47"/>
      <c r="R18" s="58" t="s">
        <v>170</v>
      </c>
      <c r="S18" s="47">
        <f>L46</f>
        <v>30</v>
      </c>
      <c r="T18" s="47">
        <f>L47</f>
        <v>64</v>
      </c>
      <c r="U18" s="70">
        <f>M46</f>
        <v>9656856</v>
      </c>
      <c r="V18" s="70">
        <f>M47</f>
        <v>15644651</v>
      </c>
      <c r="W18" s="70">
        <f>N46</f>
        <v>48958</v>
      </c>
      <c r="X18" s="70">
        <f>N47</f>
        <v>260428</v>
      </c>
      <c r="Y18" s="70">
        <f>O46</f>
        <v>1631.933333</v>
      </c>
      <c r="Z18" s="70">
        <f>O47</f>
        <v>4069.1875</v>
      </c>
      <c r="AA18" s="71">
        <f>P46</f>
        <v>0.005069765978</v>
      </c>
      <c r="AB18" s="71">
        <f>P47</f>
        <v>0.01664645635</v>
      </c>
    </row>
    <row r="19">
      <c r="A19" s="33" t="s">
        <v>187</v>
      </c>
      <c r="B19" s="33">
        <v>0.0</v>
      </c>
      <c r="D19" s="33" t="s">
        <v>188</v>
      </c>
      <c r="K19" s="50"/>
      <c r="L19" s="50"/>
      <c r="M19" s="69"/>
      <c r="N19" s="69"/>
      <c r="O19" s="69"/>
      <c r="P19" s="73"/>
      <c r="Q19" s="47"/>
      <c r="R19" s="58" t="s">
        <v>171</v>
      </c>
      <c r="S19" s="50" t="s">
        <v>164</v>
      </c>
      <c r="T19" s="50" t="s">
        <v>164</v>
      </c>
      <c r="U19" s="50" t="s">
        <v>164</v>
      </c>
      <c r="V19" s="50" t="s">
        <v>164</v>
      </c>
      <c r="W19" s="50" t="s">
        <v>164</v>
      </c>
      <c r="X19" s="50" t="s">
        <v>164</v>
      </c>
      <c r="Y19" s="50" t="s">
        <v>164</v>
      </c>
      <c r="Z19" s="50" t="s">
        <v>164</v>
      </c>
      <c r="AA19" s="50" t="s">
        <v>164</v>
      </c>
      <c r="AB19" s="50" t="s">
        <v>164</v>
      </c>
    </row>
    <row r="20">
      <c r="A20" s="33" t="s">
        <v>49</v>
      </c>
      <c r="B20" s="33" t="s">
        <v>189</v>
      </c>
      <c r="D20" s="33" t="s">
        <v>190</v>
      </c>
      <c r="K20" s="50" t="s">
        <v>172</v>
      </c>
      <c r="L20" s="50">
        <v>53.0</v>
      </c>
      <c r="M20" s="69">
        <v>4777552.0</v>
      </c>
      <c r="N20" s="69">
        <v>154270.0</v>
      </c>
      <c r="O20" s="70">
        <f t="shared" ref="O20:O22" si="9">N20/L20</f>
        <v>2910.754717</v>
      </c>
      <c r="P20" s="71">
        <f t="shared" ref="P20:P22" si="10">N20/M20</f>
        <v>0.03229059569</v>
      </c>
      <c r="Q20" s="47"/>
      <c r="R20" s="58" t="s">
        <v>174</v>
      </c>
      <c r="S20" s="47">
        <f>L70</f>
        <v>12</v>
      </c>
      <c r="T20" s="47">
        <f>L71</f>
        <v>0</v>
      </c>
      <c r="U20" s="70">
        <f>M70</f>
        <v>456947</v>
      </c>
      <c r="V20" s="47">
        <f>M71</f>
        <v>0</v>
      </c>
      <c r="W20" s="70">
        <f>N70</f>
        <v>1507</v>
      </c>
      <c r="X20" s="47">
        <f>N71</f>
        <v>0</v>
      </c>
      <c r="Y20" s="70">
        <f>O70</f>
        <v>125.5833333</v>
      </c>
      <c r="Z20" s="47">
        <f>O71</f>
        <v>0</v>
      </c>
      <c r="AA20" s="71">
        <f>P70</f>
        <v>0.003297975476</v>
      </c>
      <c r="AB20" s="47">
        <f>P71</f>
        <v>0</v>
      </c>
    </row>
    <row r="21">
      <c r="K21" s="50" t="s">
        <v>36</v>
      </c>
      <c r="L21" s="50">
        <v>42.0</v>
      </c>
      <c r="M21" s="69">
        <v>2733518.0</v>
      </c>
      <c r="N21" s="69">
        <v>311539.0</v>
      </c>
      <c r="O21" s="64">
        <f t="shared" si="9"/>
        <v>7417.595238</v>
      </c>
      <c r="P21" s="63">
        <f t="shared" si="10"/>
        <v>0.113969983</v>
      </c>
      <c r="Q21" s="47"/>
    </row>
    <row r="22">
      <c r="A22" s="26" t="s">
        <v>191</v>
      </c>
      <c r="K22" s="50" t="s">
        <v>50</v>
      </c>
      <c r="L22" s="50">
        <v>90.0</v>
      </c>
      <c r="M22" s="69">
        <v>8429365.0</v>
      </c>
      <c r="N22" s="69">
        <v>31688.0</v>
      </c>
      <c r="O22" s="64">
        <f t="shared" si="9"/>
        <v>352.0888889</v>
      </c>
      <c r="P22" s="63">
        <f t="shared" si="10"/>
        <v>0.003759239278</v>
      </c>
      <c r="Q22" s="47"/>
    </row>
    <row r="23">
      <c r="A23" s="33" t="s">
        <v>46</v>
      </c>
      <c r="B23" s="33" t="s">
        <v>192</v>
      </c>
      <c r="C23" s="28">
        <f>IFERROR(__xludf.DUMMYFUNCTION("IF(REGEXMATCH(B23, ""K""), SUBSTITUTE(B23, ""K"", """")*1000, IF(REGEXMATCH(B23, ""M""), SUBSTITUTE(B23, ""M"", """")*1000000, (B23*1)))"),875000.0)</f>
        <v>875000</v>
      </c>
      <c r="K23" s="50" t="s">
        <v>176</v>
      </c>
      <c r="L23" s="50">
        <v>0.0</v>
      </c>
      <c r="M23" s="50">
        <v>0.0</v>
      </c>
      <c r="N23" s="50">
        <v>0.0</v>
      </c>
      <c r="O23" s="50">
        <v>0.0</v>
      </c>
      <c r="P23" s="50">
        <v>0.0</v>
      </c>
      <c r="Q23" s="47"/>
    </row>
    <row r="24">
      <c r="A24" s="33" t="s">
        <v>37</v>
      </c>
      <c r="B24" s="33" t="s">
        <v>193</v>
      </c>
      <c r="C24" s="28">
        <f>IFERROR(__xludf.DUMMYFUNCTION("IF(REGEXMATCH(B24, ""K""), SUBSTITUTE(B24, ""K"", """")*1000, IF(REGEXMATCH(B24, ""M""), SUBSTITUTE(B24, ""M"", """")*1000000, (B24*1)))"),3400000.0)</f>
        <v>3400000</v>
      </c>
      <c r="J24" s="57"/>
      <c r="K24" s="48" t="s">
        <v>177</v>
      </c>
      <c r="L24" s="47">
        <f>SUM(L16:L23)</f>
        <v>435</v>
      </c>
      <c r="M24" s="47"/>
      <c r="N24" s="47"/>
      <c r="O24" s="47"/>
      <c r="P24" s="47"/>
      <c r="Q24" s="47"/>
    </row>
    <row r="25">
      <c r="A25" s="33" t="s">
        <v>36</v>
      </c>
      <c r="B25" s="33" t="s">
        <v>194</v>
      </c>
      <c r="C25" s="28">
        <f>IFERROR(__xludf.DUMMYFUNCTION("IF(REGEXMATCH(B25, ""K""), SUBSTITUTE(B25, ""K"", """")*1000, IF(REGEXMATCH(B25, ""M""), SUBSTITUTE(B25, ""M"", """")*1000000, (B25*1)))"),605000.0)</f>
        <v>605000</v>
      </c>
      <c r="J25" s="57"/>
      <c r="K25" s="48" t="s">
        <v>179</v>
      </c>
      <c r="L25" s="47"/>
      <c r="M25" s="47"/>
      <c r="N25" s="47"/>
      <c r="O25" s="47"/>
      <c r="P25" s="47"/>
      <c r="Q25" s="47"/>
      <c r="R25" s="55" t="s">
        <v>36</v>
      </c>
    </row>
    <row r="26">
      <c r="C26" s="35">
        <f>SUM(C23:C25)</f>
        <v>4880000</v>
      </c>
      <c r="L26" s="47"/>
      <c r="M26" s="47"/>
      <c r="N26" s="47"/>
      <c r="O26" s="47"/>
      <c r="P26" s="47"/>
      <c r="Q26" s="47"/>
      <c r="S26" s="58" t="s">
        <v>150</v>
      </c>
      <c r="T26" s="58" t="s">
        <v>151</v>
      </c>
      <c r="U26" s="26" t="s">
        <v>152</v>
      </c>
      <c r="V26" s="26" t="s">
        <v>153</v>
      </c>
      <c r="W26" s="26" t="s">
        <v>154</v>
      </c>
    </row>
    <row r="27">
      <c r="A27" s="33" t="s">
        <v>50</v>
      </c>
      <c r="B27" s="33" t="s">
        <v>195</v>
      </c>
      <c r="C27" s="28"/>
      <c r="D27" s="33" t="s">
        <v>186</v>
      </c>
      <c r="L27" s="58" t="s">
        <v>150</v>
      </c>
      <c r="M27" s="58" t="s">
        <v>151</v>
      </c>
      <c r="N27" s="58" t="s">
        <v>152</v>
      </c>
      <c r="O27" s="58" t="s">
        <v>153</v>
      </c>
      <c r="P27" s="58" t="s">
        <v>154</v>
      </c>
      <c r="Q27" s="47"/>
      <c r="S27" s="60" t="s">
        <v>181</v>
      </c>
      <c r="T27" s="60" t="s">
        <v>181</v>
      </c>
      <c r="U27" s="60" t="s">
        <v>181</v>
      </c>
      <c r="V27" s="60" t="s">
        <v>181</v>
      </c>
      <c r="W27" s="60" t="s">
        <v>181</v>
      </c>
    </row>
    <row r="28">
      <c r="A28" s="33" t="s">
        <v>187</v>
      </c>
      <c r="B28" s="33" t="s">
        <v>196</v>
      </c>
      <c r="J28" s="58" t="s">
        <v>169</v>
      </c>
      <c r="K28" s="50" t="s">
        <v>163</v>
      </c>
      <c r="L28" s="50">
        <v>88.0</v>
      </c>
      <c r="M28" s="50">
        <v>0.0</v>
      </c>
      <c r="N28" s="69">
        <v>3263530.0</v>
      </c>
      <c r="O28" s="64">
        <f t="shared" ref="O28:O30" si="12">N28/L28</f>
        <v>37085.56818</v>
      </c>
      <c r="P28" s="47"/>
      <c r="Q28" s="47"/>
      <c r="R28" s="58" t="s">
        <v>162</v>
      </c>
      <c r="S28" s="29">
        <f t="shared" ref="S28:W28" si="11">L9</f>
        <v>23</v>
      </c>
      <c r="T28" s="29">
        <f t="shared" si="11"/>
        <v>15919600</v>
      </c>
      <c r="U28" s="29">
        <f t="shared" si="11"/>
        <v>393036</v>
      </c>
      <c r="V28" s="29">
        <f t="shared" si="11"/>
        <v>17088.52174</v>
      </c>
      <c r="W28" s="30">
        <f t="shared" si="11"/>
        <v>0.02468881128</v>
      </c>
    </row>
    <row r="29">
      <c r="A29" s="33" t="s">
        <v>49</v>
      </c>
      <c r="B29" s="28">
        <v>7606.0</v>
      </c>
      <c r="D29" s="33" t="s">
        <v>197</v>
      </c>
      <c r="K29" s="50" t="s">
        <v>166</v>
      </c>
      <c r="L29" s="50">
        <v>16.0</v>
      </c>
      <c r="M29" s="69">
        <v>6676000.0</v>
      </c>
      <c r="N29" s="69">
        <v>402628.0</v>
      </c>
      <c r="O29" s="70">
        <f t="shared" si="12"/>
        <v>25164.25</v>
      </c>
      <c r="P29" s="71">
        <f>N29/M29</f>
        <v>0.06030976633</v>
      </c>
      <c r="Q29" s="47"/>
      <c r="R29" s="58" t="s">
        <v>165</v>
      </c>
      <c r="S29" s="31">
        <f t="shared" ref="S29:W29" si="13">L21</f>
        <v>42</v>
      </c>
      <c r="T29" s="29">
        <f t="shared" si="13"/>
        <v>2733518</v>
      </c>
      <c r="U29" s="29">
        <f t="shared" si="13"/>
        <v>311539</v>
      </c>
      <c r="V29" s="29">
        <f t="shared" si="13"/>
        <v>7417.595238</v>
      </c>
      <c r="W29" s="30">
        <f t="shared" si="13"/>
        <v>0.113969983</v>
      </c>
    </row>
    <row r="30">
      <c r="K30" s="50" t="s">
        <v>168</v>
      </c>
      <c r="L30" s="50">
        <v>89.0</v>
      </c>
      <c r="M30" s="50">
        <v>0.0</v>
      </c>
      <c r="N30" s="69">
        <v>1737696.0</v>
      </c>
      <c r="O30" s="70">
        <f t="shared" si="12"/>
        <v>19524.67416</v>
      </c>
      <c r="P30" s="47"/>
      <c r="Q30" s="47"/>
      <c r="R30" s="58" t="s">
        <v>169</v>
      </c>
      <c r="S30" s="31">
        <f t="shared" ref="S30:W30" si="14">L33</f>
        <v>28</v>
      </c>
      <c r="T30" s="29">
        <f t="shared" si="14"/>
        <v>11535100</v>
      </c>
      <c r="U30" s="29">
        <f t="shared" si="14"/>
        <v>1931194</v>
      </c>
      <c r="V30" s="29">
        <f t="shared" si="14"/>
        <v>68971.21429</v>
      </c>
      <c r="W30" s="30">
        <f t="shared" si="14"/>
        <v>0.1674189214</v>
      </c>
    </row>
    <row r="31">
      <c r="A31" s="26" t="s">
        <v>198</v>
      </c>
      <c r="K31" s="50"/>
      <c r="L31" s="50"/>
      <c r="M31" s="69"/>
      <c r="N31" s="69"/>
      <c r="O31" s="69"/>
      <c r="P31" s="73"/>
      <c r="Q31" s="47"/>
      <c r="R31" s="58" t="s">
        <v>170</v>
      </c>
      <c r="S31" s="31">
        <f t="shared" ref="S31:W31" si="15">L45</f>
        <v>67</v>
      </c>
      <c r="T31" s="29">
        <f t="shared" si="15"/>
        <v>33039800</v>
      </c>
      <c r="U31" s="29">
        <f t="shared" si="15"/>
        <v>3971911</v>
      </c>
      <c r="V31" s="29">
        <f t="shared" si="15"/>
        <v>59282.25373</v>
      </c>
      <c r="W31" s="30">
        <f t="shared" si="15"/>
        <v>0.1202159517</v>
      </c>
    </row>
    <row r="32">
      <c r="A32" s="33" t="s">
        <v>46</v>
      </c>
      <c r="B32" s="33" t="s">
        <v>199</v>
      </c>
      <c r="C32" s="28">
        <f>IFERROR(__xludf.DUMMYFUNCTION("IF(REGEXMATCH(B32, ""K""), SUBSTITUTE(B32, ""K"", """")*1000, IF(REGEXMATCH(B32, ""M""), SUBSTITUTE(B32, ""M"", """")*1000000, (B32*1)))"),3900000.0)</f>
        <v>3900000</v>
      </c>
      <c r="K32" s="50" t="s">
        <v>172</v>
      </c>
      <c r="L32" s="50">
        <v>12.0</v>
      </c>
      <c r="M32" s="69">
        <v>4010013.0</v>
      </c>
      <c r="N32" s="69">
        <v>156908.0</v>
      </c>
      <c r="O32" s="70">
        <f t="shared" ref="O32:O35" si="17">N32/L32</f>
        <v>13075.66667</v>
      </c>
      <c r="P32" s="71">
        <f t="shared" ref="P32:P35" si="18">N32/M32</f>
        <v>0.03912905021</v>
      </c>
      <c r="Q32" s="47"/>
      <c r="R32" s="58" t="s">
        <v>171</v>
      </c>
      <c r="S32" s="33">
        <f t="shared" ref="S32:W32" si="16">L57</f>
        <v>53</v>
      </c>
      <c r="T32" s="28">
        <f t="shared" si="16"/>
        <v>13488700</v>
      </c>
      <c r="U32" s="28">
        <f t="shared" si="16"/>
        <v>2048192</v>
      </c>
      <c r="V32" s="28">
        <f t="shared" si="16"/>
        <v>38645.13208</v>
      </c>
      <c r="W32" s="34">
        <f t="shared" si="16"/>
        <v>0.1518450258</v>
      </c>
    </row>
    <row r="33">
      <c r="A33" s="33" t="s">
        <v>37</v>
      </c>
      <c r="B33" s="33" t="s">
        <v>200</v>
      </c>
      <c r="C33" s="28">
        <f>IFERROR(__xludf.DUMMYFUNCTION("IF(REGEXMATCH(B33, ""K""), SUBSTITUTE(B33, ""K"", """")*1000, IF(REGEXMATCH(B33, ""M""), SUBSTITUTE(B33, ""M"", """")*1000000, (B33*1)))"),1.42E7)</f>
        <v>14200000</v>
      </c>
      <c r="K33" s="50" t="s">
        <v>36</v>
      </c>
      <c r="L33" s="50">
        <v>28.0</v>
      </c>
      <c r="M33" s="69">
        <v>1.15351E7</v>
      </c>
      <c r="N33" s="69">
        <v>1931194.0</v>
      </c>
      <c r="O33" s="64">
        <f t="shared" si="17"/>
        <v>68971.21429</v>
      </c>
      <c r="P33" s="63">
        <f t="shared" si="18"/>
        <v>0.1674189214</v>
      </c>
      <c r="Q33" s="47"/>
      <c r="R33" s="58" t="s">
        <v>174</v>
      </c>
      <c r="S33" s="31">
        <f t="shared" ref="S33:W33" si="19">L69</f>
        <v>113</v>
      </c>
      <c r="T33" s="29">
        <f t="shared" si="19"/>
        <v>10876271</v>
      </c>
      <c r="U33" s="29">
        <f t="shared" si="19"/>
        <v>2097204</v>
      </c>
      <c r="V33" s="29">
        <f t="shared" si="19"/>
        <v>18559.32743</v>
      </c>
      <c r="W33" s="30">
        <f t="shared" si="19"/>
        <v>0.1928238088</v>
      </c>
    </row>
    <row r="34">
      <c r="A34" s="33" t="s">
        <v>36</v>
      </c>
      <c r="B34" s="33" t="s">
        <v>201</v>
      </c>
      <c r="C34" s="28">
        <f>IFERROR(__xludf.DUMMYFUNCTION("IF(REGEXMATCH(B34, ""K""), SUBSTITUTE(B34, ""K"", """")*1000, IF(REGEXMATCH(B34, ""M""), SUBSTITUTE(B34, ""M"", """")*1000000, (B34*1)))"),3300000.0)</f>
        <v>3300000</v>
      </c>
      <c r="K34" s="50" t="s">
        <v>50</v>
      </c>
      <c r="L34" s="50">
        <v>24.0</v>
      </c>
      <c r="M34" s="69">
        <v>4866349.0</v>
      </c>
      <c r="N34" s="69">
        <v>10217.0</v>
      </c>
      <c r="O34" s="64">
        <f t="shared" si="17"/>
        <v>425.7083333</v>
      </c>
      <c r="P34" s="63">
        <f t="shared" si="18"/>
        <v>0.002099520606</v>
      </c>
      <c r="Q34" s="47"/>
    </row>
    <row r="35">
      <c r="C35" s="35">
        <f>SUM(C32:C34)</f>
        <v>21400000</v>
      </c>
      <c r="K35" s="50" t="s">
        <v>176</v>
      </c>
      <c r="L35" s="50">
        <v>26.0</v>
      </c>
      <c r="M35" s="69">
        <v>1007223.0</v>
      </c>
      <c r="N35" s="69">
        <v>23634.0</v>
      </c>
      <c r="O35" s="64">
        <f t="shared" si="17"/>
        <v>909</v>
      </c>
      <c r="P35" s="63">
        <f t="shared" si="18"/>
        <v>0.0234645158</v>
      </c>
      <c r="Q35" s="47"/>
    </row>
    <row r="36">
      <c r="A36" s="33" t="s">
        <v>50</v>
      </c>
      <c r="B36" s="33" t="s">
        <v>202</v>
      </c>
      <c r="K36" s="48" t="s">
        <v>177</v>
      </c>
      <c r="L36" s="47"/>
      <c r="M36" s="47"/>
      <c r="N36" s="47"/>
      <c r="O36" s="47"/>
      <c r="P36" s="47"/>
      <c r="Q36" s="47"/>
    </row>
    <row r="37">
      <c r="A37" s="33" t="s">
        <v>187</v>
      </c>
      <c r="B37" s="33">
        <v>0.0</v>
      </c>
      <c r="K37" s="48" t="s">
        <v>179</v>
      </c>
      <c r="L37" s="47"/>
      <c r="M37" s="47"/>
      <c r="N37" s="47"/>
      <c r="O37" s="47"/>
      <c r="P37" s="47"/>
      <c r="Q37" s="47"/>
      <c r="R37" s="56" t="s">
        <v>37</v>
      </c>
      <c r="S37" s="54"/>
      <c r="T37" s="54"/>
      <c r="U37" s="54"/>
      <c r="V37" s="54"/>
      <c r="W37" s="54"/>
      <c r="X37" s="54"/>
      <c r="Y37" s="54"/>
      <c r="Z37" s="54"/>
      <c r="AA37" s="54"/>
      <c r="AB37" s="54"/>
    </row>
    <row r="38">
      <c r="A38" s="33" t="s">
        <v>49</v>
      </c>
      <c r="B38" s="33" t="s">
        <v>203</v>
      </c>
      <c r="D38" s="33" t="s">
        <v>204</v>
      </c>
      <c r="L38" s="47"/>
      <c r="M38" s="47"/>
      <c r="N38" s="47"/>
      <c r="O38" s="47"/>
      <c r="P38" s="47"/>
      <c r="Q38" s="47"/>
      <c r="R38" s="59"/>
      <c r="S38" s="58" t="s">
        <v>150</v>
      </c>
      <c r="U38" s="58" t="s">
        <v>151</v>
      </c>
      <c r="W38" s="58" t="s">
        <v>152</v>
      </c>
      <c r="Y38" s="58" t="s">
        <v>153</v>
      </c>
      <c r="AA38" s="58" t="s">
        <v>154</v>
      </c>
    </row>
    <row r="39">
      <c r="L39" s="58" t="s">
        <v>150</v>
      </c>
      <c r="M39" s="58" t="s">
        <v>151</v>
      </c>
      <c r="N39" s="58" t="s">
        <v>152</v>
      </c>
      <c r="O39" s="58" t="s">
        <v>153</v>
      </c>
      <c r="P39" s="58" t="s">
        <v>154</v>
      </c>
      <c r="Q39" s="47"/>
      <c r="S39" s="60" t="s">
        <v>205</v>
      </c>
      <c r="T39" s="60" t="s">
        <v>161</v>
      </c>
      <c r="U39" s="60" t="s">
        <v>205</v>
      </c>
      <c r="V39" s="60" t="s">
        <v>161</v>
      </c>
      <c r="W39" s="60" t="s">
        <v>205</v>
      </c>
      <c r="X39" s="60" t="s">
        <v>161</v>
      </c>
      <c r="Y39" s="60" t="s">
        <v>205</v>
      </c>
      <c r="Z39" s="60" t="s">
        <v>161</v>
      </c>
      <c r="AA39" s="60" t="s">
        <v>205</v>
      </c>
      <c r="AB39" s="60" t="s">
        <v>161</v>
      </c>
    </row>
    <row r="40">
      <c r="A40" s="26" t="s">
        <v>206</v>
      </c>
      <c r="J40" s="58" t="s">
        <v>170</v>
      </c>
      <c r="K40" s="50" t="s">
        <v>163</v>
      </c>
      <c r="L40" s="50">
        <v>50.0</v>
      </c>
      <c r="M40" s="50">
        <v>0.0</v>
      </c>
      <c r="N40" s="69">
        <v>3601650.0</v>
      </c>
      <c r="O40" s="64">
        <f t="shared" ref="O40:O42" si="20">N40/L40</f>
        <v>72033</v>
      </c>
      <c r="P40" s="47"/>
      <c r="Q40" s="47"/>
      <c r="R40" s="58" t="s">
        <v>162</v>
      </c>
      <c r="S40" s="70">
        <f>L6</f>
        <v>16</v>
      </c>
      <c r="T40" s="47">
        <f>L8</f>
        <v>26</v>
      </c>
      <c r="U40" s="50" t="s">
        <v>164</v>
      </c>
      <c r="V40" s="70">
        <f>M8</f>
        <v>6110092</v>
      </c>
      <c r="W40" s="70">
        <f>N6</f>
        <v>279318</v>
      </c>
      <c r="X40" s="70">
        <f>N8</f>
        <v>72904</v>
      </c>
      <c r="Y40" s="70">
        <f>O6</f>
        <v>17457.375</v>
      </c>
      <c r="Z40" s="70">
        <f>O8</f>
        <v>2804</v>
      </c>
      <c r="AA40" s="50" t="s">
        <v>164</v>
      </c>
      <c r="AB40" s="71">
        <f>P8</f>
        <v>0.01193173523</v>
      </c>
    </row>
    <row r="41">
      <c r="A41" s="33" t="s">
        <v>46</v>
      </c>
      <c r="B41" s="33" t="s">
        <v>207</v>
      </c>
      <c r="C41" s="28">
        <f>IFERROR(__xludf.DUMMYFUNCTION("IF(REGEXMATCH(B41, ""K""), SUBSTITUTE(B41, ""K"", """")*1000, IF(REGEXMATCH(B41, ""M""), SUBSTITUTE(B41, ""M"", """")*1000000, (B41*1)))"),6200000.0)</f>
        <v>6200000</v>
      </c>
      <c r="K41" s="50" t="s">
        <v>166</v>
      </c>
      <c r="L41" s="50">
        <v>22.0</v>
      </c>
      <c r="M41" s="69">
        <v>6.2E7</v>
      </c>
      <c r="N41" s="69">
        <v>4102902.0</v>
      </c>
      <c r="O41" s="70">
        <f t="shared" si="20"/>
        <v>186495.5455</v>
      </c>
      <c r="P41" s="71">
        <f>N41/M41</f>
        <v>0.06617583871</v>
      </c>
      <c r="R41" s="58" t="s">
        <v>165</v>
      </c>
      <c r="S41" s="47">
        <f>L18</f>
        <v>102</v>
      </c>
      <c r="T41" s="50">
        <f>L20</f>
        <v>53</v>
      </c>
      <c r="U41" s="50" t="s">
        <v>164</v>
      </c>
      <c r="V41" s="69">
        <f>M20</f>
        <v>4777552</v>
      </c>
      <c r="W41" s="70">
        <f>N18</f>
        <v>165960</v>
      </c>
      <c r="X41" s="69">
        <f>N20</f>
        <v>154270</v>
      </c>
      <c r="Y41" s="70">
        <f>O18</f>
        <v>1627.058824</v>
      </c>
      <c r="Z41" s="69">
        <f>O20</f>
        <v>2910.754717</v>
      </c>
      <c r="AA41" s="50" t="s">
        <v>164</v>
      </c>
      <c r="AB41" s="73">
        <f>P20</f>
        <v>0.03229059569</v>
      </c>
    </row>
    <row r="42">
      <c r="A42" s="33" t="s">
        <v>37</v>
      </c>
      <c r="B42" s="33" t="s">
        <v>208</v>
      </c>
      <c r="C42" s="28">
        <f>IFERROR(__xludf.DUMMYFUNCTION("IF(REGEXMATCH(B42, ""K""), SUBSTITUTE(B42, ""K"", """")*1000, IF(REGEXMATCH(B42, ""M""), SUBSTITUTE(B42, ""M"", """")*1000000, (B42*1)))"),1.23E7)</f>
        <v>12300000</v>
      </c>
      <c r="K42" s="50" t="s">
        <v>168</v>
      </c>
      <c r="L42" s="50">
        <v>64.0</v>
      </c>
      <c r="M42" s="50">
        <v>0.0</v>
      </c>
      <c r="N42" s="69">
        <v>270222.0</v>
      </c>
      <c r="O42" s="70">
        <f t="shared" si="20"/>
        <v>4222.21875</v>
      </c>
      <c r="P42" s="50"/>
      <c r="R42" s="58" t="s">
        <v>169</v>
      </c>
      <c r="S42" s="47">
        <f>L30</f>
        <v>89</v>
      </c>
      <c r="T42" s="47">
        <f>L32</f>
        <v>12</v>
      </c>
      <c r="U42" s="50" t="s">
        <v>164</v>
      </c>
      <c r="V42" s="70">
        <f>M32</f>
        <v>4010013</v>
      </c>
      <c r="W42" s="70">
        <f>N30</f>
        <v>1737696</v>
      </c>
      <c r="X42" s="70">
        <f>N32</f>
        <v>156908</v>
      </c>
      <c r="Y42" s="70">
        <f>O30</f>
        <v>19524.67416</v>
      </c>
      <c r="Z42" s="70">
        <f>O32</f>
        <v>13075.66667</v>
      </c>
      <c r="AA42" s="50" t="s">
        <v>164</v>
      </c>
      <c r="AB42" s="71">
        <f>P32</f>
        <v>0.03912905021</v>
      </c>
    </row>
    <row r="43">
      <c r="A43" s="33" t="s">
        <v>36</v>
      </c>
      <c r="B43" s="33" t="s">
        <v>209</v>
      </c>
      <c r="C43" s="28">
        <f>IFERROR(__xludf.DUMMYFUNCTION("IF(REGEXMATCH(B43, ""K""), SUBSTITUTE(B43, ""K"", """")*1000, IF(REGEXMATCH(B43, ""M""), SUBSTITUTE(B43, ""M"", """")*1000000, (B43*1)))"),5400000.0)</f>
        <v>5400000</v>
      </c>
      <c r="K43" s="50"/>
      <c r="L43" s="50"/>
      <c r="M43" s="50"/>
      <c r="N43" s="50"/>
      <c r="O43" s="50"/>
      <c r="P43" s="50"/>
      <c r="R43" s="58" t="s">
        <v>170</v>
      </c>
      <c r="S43" s="47">
        <f>L42</f>
        <v>64</v>
      </c>
      <c r="T43" s="47">
        <f>L44</f>
        <v>23</v>
      </c>
      <c r="U43" s="50" t="s">
        <v>164</v>
      </c>
      <c r="V43" s="70">
        <f>M44</f>
        <v>14337129</v>
      </c>
      <c r="W43" s="70">
        <f>N42</f>
        <v>270222</v>
      </c>
      <c r="X43" s="70">
        <f>N44</f>
        <v>612908</v>
      </c>
      <c r="Y43" s="70">
        <f>O42</f>
        <v>4222.21875</v>
      </c>
      <c r="Z43" s="70">
        <f>O44</f>
        <v>26648.17391</v>
      </c>
      <c r="AA43" s="50" t="s">
        <v>164</v>
      </c>
      <c r="AB43" s="71">
        <f>P44</f>
        <v>0.04274970254</v>
      </c>
    </row>
    <row r="44">
      <c r="C44" s="35">
        <f>SUM(C41:C43)</f>
        <v>23900000</v>
      </c>
      <c r="K44" s="50" t="s">
        <v>172</v>
      </c>
      <c r="L44" s="50">
        <v>23.0</v>
      </c>
      <c r="M44" s="69">
        <v>1.4337129E7</v>
      </c>
      <c r="N44" s="69">
        <v>612908.0</v>
      </c>
      <c r="O44" s="70">
        <f t="shared" ref="O44:O47" si="21">N44/L44</f>
        <v>26648.17391</v>
      </c>
      <c r="P44" s="71">
        <f t="shared" ref="P44:P47" si="22">N44/M44</f>
        <v>0.04274970254</v>
      </c>
      <c r="R44" s="58" t="s">
        <v>171</v>
      </c>
      <c r="S44" s="50">
        <f>L54</f>
        <v>29</v>
      </c>
      <c r="T44" s="50">
        <f>L56</f>
        <v>40</v>
      </c>
      <c r="U44" s="50" t="s">
        <v>164</v>
      </c>
      <c r="V44" s="69">
        <f>M56</f>
        <v>950706</v>
      </c>
      <c r="W44" s="69">
        <f>N54</f>
        <v>40263</v>
      </c>
      <c r="X44" s="69">
        <f>N56</f>
        <v>14731</v>
      </c>
      <c r="Y44" s="69">
        <f>O54</f>
        <v>1388.37931</v>
      </c>
      <c r="Z44" s="69">
        <f>O56</f>
        <v>368.275</v>
      </c>
      <c r="AA44" s="50" t="s">
        <v>164</v>
      </c>
      <c r="AB44" s="73">
        <f>P56</f>
        <v>0.01549480071</v>
      </c>
    </row>
    <row r="45">
      <c r="A45" s="33" t="s">
        <v>50</v>
      </c>
      <c r="B45" s="33" t="s">
        <v>210</v>
      </c>
      <c r="K45" s="50" t="s">
        <v>36</v>
      </c>
      <c r="L45" s="50">
        <v>67.0</v>
      </c>
      <c r="M45" s="69">
        <v>3.30398E7</v>
      </c>
      <c r="N45" s="69">
        <v>3971911.0</v>
      </c>
      <c r="O45" s="64">
        <f t="shared" si="21"/>
        <v>59282.25373</v>
      </c>
      <c r="P45" s="63">
        <f t="shared" si="22"/>
        <v>0.1202159517</v>
      </c>
      <c r="R45" s="58" t="s">
        <v>174</v>
      </c>
      <c r="S45" s="47">
        <f>L66</f>
        <v>88</v>
      </c>
      <c r="T45" s="47">
        <f>L68</f>
        <v>17</v>
      </c>
      <c r="U45" s="50" t="s">
        <v>164</v>
      </c>
      <c r="V45" s="70">
        <f>M68</f>
        <v>5233082</v>
      </c>
      <c r="W45" s="70">
        <f>N66</f>
        <v>263978</v>
      </c>
      <c r="X45" s="70">
        <f>N68</f>
        <v>166520</v>
      </c>
      <c r="Y45" s="70">
        <f>O66</f>
        <v>2999.75</v>
      </c>
      <c r="Z45" s="70">
        <f>O68</f>
        <v>9795.294118</v>
      </c>
      <c r="AA45" s="50" t="s">
        <v>164</v>
      </c>
      <c r="AB45" s="71">
        <f>P68</f>
        <v>0.03182063648</v>
      </c>
    </row>
    <row r="46">
      <c r="A46" s="33" t="s">
        <v>187</v>
      </c>
      <c r="B46" s="33" t="s">
        <v>211</v>
      </c>
      <c r="K46" s="50" t="s">
        <v>50</v>
      </c>
      <c r="L46" s="50">
        <v>30.0</v>
      </c>
      <c r="M46" s="69">
        <v>9656856.0</v>
      </c>
      <c r="N46" s="69">
        <v>48958.0</v>
      </c>
      <c r="O46" s="64">
        <f t="shared" si="21"/>
        <v>1631.933333</v>
      </c>
      <c r="P46" s="63">
        <f t="shared" si="22"/>
        <v>0.005069765978</v>
      </c>
    </row>
    <row r="47">
      <c r="A47" s="33" t="s">
        <v>49</v>
      </c>
      <c r="B47" s="33" t="s">
        <v>212</v>
      </c>
      <c r="D47" s="33" t="s">
        <v>213</v>
      </c>
      <c r="K47" s="50" t="s">
        <v>176</v>
      </c>
      <c r="L47" s="50">
        <v>64.0</v>
      </c>
      <c r="M47" s="69">
        <v>1.5644651E7</v>
      </c>
      <c r="N47" s="69">
        <v>260428.0</v>
      </c>
      <c r="O47" s="64">
        <f t="shared" si="21"/>
        <v>4069.1875</v>
      </c>
      <c r="P47" s="63">
        <f t="shared" si="22"/>
        <v>0.01664645635</v>
      </c>
    </row>
    <row r="48">
      <c r="K48" s="48" t="s">
        <v>177</v>
      </c>
      <c r="L48" s="47"/>
      <c r="M48" s="47"/>
      <c r="N48" s="47"/>
      <c r="O48" s="47"/>
      <c r="P48" s="47"/>
    </row>
    <row r="49">
      <c r="A49" s="26" t="s">
        <v>214</v>
      </c>
      <c r="K49" s="48" t="s">
        <v>179</v>
      </c>
      <c r="L49" s="47"/>
      <c r="M49" s="47"/>
      <c r="N49" s="47"/>
      <c r="O49" s="47"/>
      <c r="P49" s="47"/>
    </row>
    <row r="50">
      <c r="A50" s="33" t="s">
        <v>46</v>
      </c>
      <c r="B50" s="33" t="s">
        <v>215</v>
      </c>
      <c r="C50" s="28">
        <f>IFERROR(__xludf.DUMMYFUNCTION("IF(REGEXMATCH(B50, ""K""), SUBSTITUTE(B50, ""K"", """")*1000, IF(REGEXMATCH(B50, ""M""), SUBSTITUTE(B50, ""M"", """")*1000000, (B50*1)))"),1000000.0)</f>
        <v>1000000</v>
      </c>
    </row>
    <row r="51">
      <c r="A51" s="33" t="s">
        <v>37</v>
      </c>
      <c r="B51" s="33" t="s">
        <v>216</v>
      </c>
      <c r="C51" s="28">
        <f>IFERROR(__xludf.DUMMYFUNCTION("IF(REGEXMATCH(B51, ""K""), SUBSTITUTE(B51, ""K"", """")*1000, IF(REGEXMATCH(B51, ""M""), SUBSTITUTE(B51, ""M"", """")*1000000, (B51*1)))"),211300.0)</f>
        <v>211300</v>
      </c>
      <c r="L51" s="58" t="s">
        <v>150</v>
      </c>
      <c r="M51" s="58" t="s">
        <v>151</v>
      </c>
      <c r="N51" s="58" t="s">
        <v>152</v>
      </c>
      <c r="O51" s="58" t="s">
        <v>153</v>
      </c>
      <c r="P51" s="58" t="s">
        <v>154</v>
      </c>
    </row>
    <row r="52">
      <c r="A52" s="33" t="s">
        <v>36</v>
      </c>
      <c r="B52" s="33" t="s">
        <v>217</v>
      </c>
      <c r="C52" s="28">
        <f>IFERROR(__xludf.DUMMYFUNCTION("IF(REGEXMATCH(B52, ""K""), SUBSTITUTE(B52, ""K"", """")*1000, IF(REGEXMATCH(B52, ""M""), SUBSTITUTE(B52, ""M"", """")*1000000, (B52*1)))"),667700.0)</f>
        <v>667700</v>
      </c>
      <c r="J52" s="58" t="s">
        <v>171</v>
      </c>
      <c r="K52" s="50" t="s">
        <v>163</v>
      </c>
      <c r="L52" s="33">
        <v>29.0</v>
      </c>
      <c r="N52" s="28">
        <v>375426.0</v>
      </c>
      <c r="O52" s="64">
        <f t="shared" ref="O52:O54" si="23">N52/L52</f>
        <v>12945.72414</v>
      </c>
      <c r="P52" s="47"/>
    </row>
    <row r="53">
      <c r="C53" s="35">
        <f>SUM(C50:C52)</f>
        <v>1879000</v>
      </c>
      <c r="K53" s="50" t="s">
        <v>166</v>
      </c>
      <c r="L53" s="33">
        <v>39.0</v>
      </c>
      <c r="M53" s="28">
        <v>1.4667E7</v>
      </c>
      <c r="N53" s="28">
        <v>542792.0</v>
      </c>
      <c r="O53" s="70">
        <f t="shared" si="23"/>
        <v>13917.74359</v>
      </c>
      <c r="P53" s="71">
        <f>N53/M53</f>
        <v>0.03700770437</v>
      </c>
    </row>
    <row r="54">
      <c r="A54" s="33" t="s">
        <v>50</v>
      </c>
      <c r="B54" s="33" t="s">
        <v>218</v>
      </c>
      <c r="K54" s="50" t="s">
        <v>168</v>
      </c>
      <c r="L54" s="33">
        <v>29.0</v>
      </c>
      <c r="N54" s="28">
        <v>40263.0</v>
      </c>
      <c r="O54" s="70">
        <f t="shared" si="23"/>
        <v>1388.37931</v>
      </c>
    </row>
    <row r="55">
      <c r="A55" s="33" t="s">
        <v>187</v>
      </c>
      <c r="B55" s="33" t="s">
        <v>219</v>
      </c>
      <c r="K55" s="50"/>
    </row>
    <row r="56">
      <c r="A56" s="33" t="s">
        <v>49</v>
      </c>
      <c r="B56" s="33" t="s">
        <v>220</v>
      </c>
      <c r="D56" s="33" t="s">
        <v>221</v>
      </c>
      <c r="K56" s="50" t="s">
        <v>172</v>
      </c>
      <c r="L56" s="33">
        <v>40.0</v>
      </c>
      <c r="M56" s="28">
        <v>950706.0</v>
      </c>
      <c r="N56" s="28">
        <v>14731.0</v>
      </c>
      <c r="O56" s="70">
        <f t="shared" ref="O56:O57" si="24">N56/L56</f>
        <v>368.275</v>
      </c>
      <c r="P56" s="71">
        <f t="shared" ref="P56:P57" si="25">N56/M56</f>
        <v>0.01549480071</v>
      </c>
    </row>
    <row r="57">
      <c r="K57" s="50" t="s">
        <v>36</v>
      </c>
      <c r="L57" s="33">
        <v>53.0</v>
      </c>
      <c r="M57" s="28">
        <v>1.34887E7</v>
      </c>
      <c r="N57" s="28">
        <v>2048192.0</v>
      </c>
      <c r="O57" s="64">
        <f t="shared" si="24"/>
        <v>38645.13208</v>
      </c>
      <c r="P57" s="63">
        <f t="shared" si="25"/>
        <v>0.1518450258</v>
      </c>
    </row>
    <row r="58">
      <c r="A58" s="26" t="s">
        <v>222</v>
      </c>
      <c r="K58" s="50" t="s">
        <v>50</v>
      </c>
      <c r="L58" s="33" t="s">
        <v>164</v>
      </c>
      <c r="M58" s="33" t="s">
        <v>164</v>
      </c>
      <c r="N58" s="33" t="s">
        <v>164</v>
      </c>
      <c r="O58" s="33" t="s">
        <v>164</v>
      </c>
      <c r="P58" s="33" t="s">
        <v>164</v>
      </c>
    </row>
    <row r="59">
      <c r="A59" s="33" t="s">
        <v>46</v>
      </c>
      <c r="B59" s="33" t="s">
        <v>223</v>
      </c>
      <c r="C59" s="28">
        <f>IFERROR(__xludf.DUMMYFUNCTION("IF(REGEXMATCH(B59, ""K""), SUBSTITUTE(B59, ""K"", """")*1000, IF(REGEXMATCH(B59, ""M""), SUBSTITUTE(B59, ""M"", """")*1000000, (B59*1)))"),385400.0)</f>
        <v>385400</v>
      </c>
      <c r="K59" s="50" t="s">
        <v>176</v>
      </c>
      <c r="L59" s="33" t="s">
        <v>164</v>
      </c>
      <c r="M59" s="33" t="s">
        <v>164</v>
      </c>
      <c r="N59" s="33" t="s">
        <v>164</v>
      </c>
      <c r="O59" s="33" t="s">
        <v>164</v>
      </c>
      <c r="P59" s="33" t="s">
        <v>164</v>
      </c>
    </row>
    <row r="60">
      <c r="A60" s="33" t="s">
        <v>37</v>
      </c>
      <c r="B60" s="33" t="s">
        <v>224</v>
      </c>
      <c r="C60" s="28">
        <f>IFERROR(__xludf.DUMMYFUNCTION("IF(REGEXMATCH(B60, ""K""), SUBSTITUTE(B60, ""K"", """")*1000, IF(REGEXMATCH(B60, ""M""), SUBSTITUTE(B60, ""M"", """")*1000000, (B60*1)))"),593200.0)</f>
        <v>593200</v>
      </c>
      <c r="K60" s="48" t="s">
        <v>177</v>
      </c>
    </row>
    <row r="61">
      <c r="A61" s="33" t="s">
        <v>36</v>
      </c>
      <c r="B61" s="33" t="s">
        <v>225</v>
      </c>
      <c r="C61" s="28">
        <f>IFERROR(__xludf.DUMMYFUNCTION("IF(REGEXMATCH(B61, ""K""), SUBSTITUTE(B61, ""K"", """")*1000, IF(REGEXMATCH(B61, ""M""), SUBSTITUTE(B61, ""M"", """")*1000000, (B61*1)))"),574200.0)</f>
        <v>574200</v>
      </c>
      <c r="K61" s="48" t="s">
        <v>179</v>
      </c>
    </row>
    <row r="62">
      <c r="A62" s="33" t="s">
        <v>50</v>
      </c>
      <c r="B62" s="33" t="s">
        <v>226</v>
      </c>
      <c r="C62" s="35">
        <f>SUM(C59:C61)</f>
        <v>1552800</v>
      </c>
    </row>
    <row r="63">
      <c r="A63" s="33" t="s">
        <v>50</v>
      </c>
      <c r="B63" s="33" t="s">
        <v>226</v>
      </c>
      <c r="L63" s="58" t="s">
        <v>150</v>
      </c>
      <c r="M63" s="58" t="s">
        <v>151</v>
      </c>
      <c r="N63" s="58" t="s">
        <v>152</v>
      </c>
      <c r="O63" s="58" t="s">
        <v>153</v>
      </c>
      <c r="P63" s="58" t="s">
        <v>154</v>
      </c>
    </row>
    <row r="64">
      <c r="A64" s="33" t="s">
        <v>187</v>
      </c>
      <c r="B64" s="33" t="s">
        <v>227</v>
      </c>
      <c r="J64" s="58" t="s">
        <v>174</v>
      </c>
      <c r="K64" s="50" t="s">
        <v>163</v>
      </c>
      <c r="L64" s="33">
        <v>71.0</v>
      </c>
      <c r="M64" s="33">
        <v>0.0</v>
      </c>
      <c r="N64" s="28">
        <v>602799.0</v>
      </c>
      <c r="O64" s="64">
        <f t="shared" ref="O64:O66" si="26">N64/L64</f>
        <v>8490.126761</v>
      </c>
    </row>
    <row r="65">
      <c r="A65" s="33" t="s">
        <v>49</v>
      </c>
      <c r="B65" s="33" t="s">
        <v>228</v>
      </c>
      <c r="K65" s="50" t="s">
        <v>166</v>
      </c>
      <c r="L65" s="33">
        <v>23.0</v>
      </c>
      <c r="M65" s="28">
        <v>8558600.0</v>
      </c>
      <c r="N65" s="28">
        <v>372551.0</v>
      </c>
      <c r="O65" s="70">
        <f t="shared" si="26"/>
        <v>16197.86957</v>
      </c>
      <c r="P65" s="71">
        <f>N65/M65</f>
        <v>0.04352943238</v>
      </c>
    </row>
    <row r="66">
      <c r="K66" s="50" t="s">
        <v>168</v>
      </c>
      <c r="L66" s="33">
        <v>88.0</v>
      </c>
      <c r="M66" s="33">
        <v>0.0</v>
      </c>
      <c r="N66" s="28">
        <v>263978.0</v>
      </c>
      <c r="O66" s="70">
        <f t="shared" si="26"/>
        <v>2999.75</v>
      </c>
    </row>
    <row r="67">
      <c r="K67" s="50"/>
      <c r="M67" s="28"/>
      <c r="N67" s="28"/>
      <c r="O67" s="69"/>
      <c r="P67" s="73"/>
    </row>
    <row r="68">
      <c r="K68" s="50" t="s">
        <v>172</v>
      </c>
      <c r="L68" s="33">
        <v>17.0</v>
      </c>
      <c r="M68" s="28">
        <v>5233082.0</v>
      </c>
      <c r="N68" s="28">
        <v>166520.0</v>
      </c>
      <c r="O68" s="70">
        <f t="shared" ref="O68:O70" si="27">N68/L68</f>
        <v>9795.294118</v>
      </c>
      <c r="P68" s="71">
        <f t="shared" ref="P68:P70" si="28">N68/M68</f>
        <v>0.03182063648</v>
      </c>
    </row>
    <row r="69">
      <c r="K69" s="50" t="s">
        <v>36</v>
      </c>
      <c r="L69" s="33">
        <v>113.0</v>
      </c>
      <c r="M69" s="28">
        <v>1.0876271E7</v>
      </c>
      <c r="N69" s="28">
        <v>2097204.0</v>
      </c>
      <c r="O69" s="64">
        <f t="shared" si="27"/>
        <v>18559.32743</v>
      </c>
      <c r="P69" s="63">
        <f t="shared" si="28"/>
        <v>0.1928238088</v>
      </c>
    </row>
    <row r="70">
      <c r="K70" s="50" t="s">
        <v>50</v>
      </c>
      <c r="L70" s="33">
        <v>12.0</v>
      </c>
      <c r="M70" s="28">
        <v>456947.0</v>
      </c>
      <c r="N70" s="28">
        <v>1507.0</v>
      </c>
      <c r="O70" s="64">
        <f t="shared" si="27"/>
        <v>125.5833333</v>
      </c>
      <c r="P70" s="63">
        <f t="shared" si="28"/>
        <v>0.003297975476</v>
      </c>
    </row>
    <row r="71">
      <c r="K71" s="50" t="s">
        <v>176</v>
      </c>
      <c r="L71" s="33">
        <v>0.0</v>
      </c>
      <c r="M71" s="33">
        <v>0.0</v>
      </c>
      <c r="N71" s="33">
        <v>0.0</v>
      </c>
      <c r="O71" s="33">
        <v>0.0</v>
      </c>
      <c r="P71" s="33">
        <v>0.0</v>
      </c>
    </row>
    <row r="72">
      <c r="K72" s="48" t="s">
        <v>177</v>
      </c>
    </row>
    <row r="73">
      <c r="K73" s="48" t="s">
        <v>179</v>
      </c>
    </row>
  </sheetData>
  <mergeCells count="17">
    <mergeCell ref="A1:B1"/>
    <mergeCell ref="J1:L1"/>
    <mergeCell ref="S2:T2"/>
    <mergeCell ref="U2:V2"/>
    <mergeCell ref="W2:X2"/>
    <mergeCell ref="Y2:Z2"/>
    <mergeCell ref="AA2:AB2"/>
    <mergeCell ref="W38:X38"/>
    <mergeCell ref="Y38:Z38"/>
    <mergeCell ref="S13:T13"/>
    <mergeCell ref="U13:V13"/>
    <mergeCell ref="W13:X13"/>
    <mergeCell ref="Y13:Z13"/>
    <mergeCell ref="AA13:AB13"/>
    <mergeCell ref="S38:T38"/>
    <mergeCell ref="U38:V38"/>
    <mergeCell ref="AA38:AB3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5.75"/>
  </cols>
  <sheetData>
    <row r="2">
      <c r="A2" s="74" t="s">
        <v>229</v>
      </c>
      <c r="B2" s="51">
        <v>45627.0</v>
      </c>
      <c r="C2" s="51">
        <v>45658.0</v>
      </c>
      <c r="D2" s="51">
        <v>45689.0</v>
      </c>
      <c r="E2" s="51">
        <v>45717.0</v>
      </c>
      <c r="F2" s="51">
        <v>45748.0</v>
      </c>
      <c r="G2" s="51">
        <v>45778.0</v>
      </c>
      <c r="H2" s="51">
        <v>45809.0</v>
      </c>
      <c r="I2" s="51">
        <v>45839.0</v>
      </c>
      <c r="J2" s="51">
        <v>45870.0</v>
      </c>
      <c r="K2" s="51">
        <v>45901.0</v>
      </c>
      <c r="L2" s="51">
        <v>45931.0</v>
      </c>
      <c r="M2" s="51">
        <v>45962.0</v>
      </c>
      <c r="N2" s="51"/>
      <c r="O2" s="51"/>
    </row>
    <row r="3">
      <c r="A3" s="33" t="s">
        <v>70</v>
      </c>
      <c r="B3" s="28">
        <v>324000.0</v>
      </c>
      <c r="C3" s="28">
        <v>330000.0</v>
      </c>
      <c r="D3" s="28">
        <v>337000.0</v>
      </c>
      <c r="E3" s="28">
        <v>343000.0</v>
      </c>
      <c r="F3" s="28">
        <v>351000.0</v>
      </c>
      <c r="G3" s="28">
        <v>357000.0</v>
      </c>
      <c r="H3" s="28">
        <v>362000.0</v>
      </c>
      <c r="I3" s="28">
        <v>367000.0</v>
      </c>
      <c r="J3" s="28">
        <v>371000.0</v>
      </c>
      <c r="K3" s="28">
        <v>373000.0</v>
      </c>
      <c r="L3" s="75" t="s">
        <v>230</v>
      </c>
      <c r="M3" s="28">
        <v>381000.0</v>
      </c>
    </row>
    <row r="4">
      <c r="A4" s="33" t="s">
        <v>64</v>
      </c>
      <c r="B4" s="28">
        <v>467000.0</v>
      </c>
      <c r="C4" s="28">
        <v>471000.0</v>
      </c>
      <c r="D4" s="28">
        <v>487000.0</v>
      </c>
      <c r="E4" s="28">
        <v>493000.0</v>
      </c>
      <c r="F4" s="28">
        <v>502000.0</v>
      </c>
      <c r="G4" s="28">
        <v>505000.0</v>
      </c>
      <c r="H4" s="28">
        <v>517000.0</v>
      </c>
      <c r="I4" s="28">
        <v>536000.0</v>
      </c>
      <c r="J4" s="28">
        <v>547000.0</v>
      </c>
      <c r="K4" s="28">
        <v>551000.0</v>
      </c>
      <c r="L4" s="28">
        <v>567101.0</v>
      </c>
      <c r="M4" s="28">
        <v>573461.0</v>
      </c>
    </row>
    <row r="5">
      <c r="A5" s="33" t="s">
        <v>66</v>
      </c>
      <c r="C5" s="76">
        <v>331168.0</v>
      </c>
      <c r="D5" s="76">
        <v>331339.0</v>
      </c>
      <c r="E5" s="76">
        <v>343900.0</v>
      </c>
      <c r="F5" s="76">
        <v>337492.0</v>
      </c>
      <c r="G5" s="76">
        <v>343394.0</v>
      </c>
      <c r="H5" s="76">
        <v>345242.0</v>
      </c>
      <c r="I5" s="28">
        <v>350290.0</v>
      </c>
      <c r="J5" s="28">
        <v>359000.0</v>
      </c>
      <c r="K5" s="28">
        <v>368000.0</v>
      </c>
      <c r="L5" s="28">
        <v>378746.0</v>
      </c>
      <c r="M5" s="28">
        <v>385208.0</v>
      </c>
    </row>
    <row r="6">
      <c r="A6" s="33" t="s">
        <v>68</v>
      </c>
      <c r="C6" s="76">
        <v>531048.0</v>
      </c>
      <c r="D6" s="76">
        <v>533307.0</v>
      </c>
      <c r="E6" s="76">
        <v>535471.0</v>
      </c>
      <c r="F6" s="76">
        <v>538295.0</v>
      </c>
      <c r="G6" s="76">
        <v>543062.0</v>
      </c>
      <c r="H6" s="76">
        <v>545309.0</v>
      </c>
      <c r="I6" s="28">
        <v>552000.0</v>
      </c>
      <c r="J6" s="28">
        <v>559000.0</v>
      </c>
      <c r="K6" s="28">
        <v>568000.0</v>
      </c>
      <c r="L6" s="28">
        <v>548059.0</v>
      </c>
      <c r="M6" s="28">
        <v>592357.0</v>
      </c>
    </row>
    <row r="7"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</row>
    <row r="8">
      <c r="A8" s="74" t="s">
        <v>231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</row>
    <row r="9">
      <c r="A9" s="33" t="s">
        <v>70</v>
      </c>
      <c r="C9" s="29"/>
      <c r="D9" s="28">
        <v>16.0</v>
      </c>
      <c r="E9" s="28">
        <v>14.0</v>
      </c>
      <c r="F9" s="28">
        <v>1.0</v>
      </c>
      <c r="G9" s="28">
        <v>3.0</v>
      </c>
      <c r="H9" s="28">
        <v>8.0</v>
      </c>
      <c r="I9" s="28">
        <v>4.0</v>
      </c>
      <c r="J9" s="28">
        <v>4.0</v>
      </c>
      <c r="K9" s="28">
        <v>3.0</v>
      </c>
      <c r="L9" s="75" t="s">
        <v>230</v>
      </c>
      <c r="M9" s="28">
        <v>4.0</v>
      </c>
    </row>
    <row r="10">
      <c r="A10" s="33" t="s">
        <v>64</v>
      </c>
      <c r="C10" s="28">
        <v>25.0</v>
      </c>
      <c r="D10" s="28">
        <v>34.0</v>
      </c>
      <c r="E10" s="28">
        <v>30.0</v>
      </c>
      <c r="F10" s="28">
        <v>21.0</v>
      </c>
      <c r="G10" s="28">
        <v>26.0</v>
      </c>
      <c r="H10" s="28">
        <v>26.0</v>
      </c>
      <c r="I10" s="28">
        <v>32.0</v>
      </c>
      <c r="J10" s="28">
        <v>36.0</v>
      </c>
      <c r="K10" s="28">
        <v>37.0</v>
      </c>
      <c r="L10" s="28">
        <v>45.0</v>
      </c>
      <c r="M10" s="28">
        <v>37.0</v>
      </c>
    </row>
    <row r="11">
      <c r="A11" s="33" t="s">
        <v>66</v>
      </c>
      <c r="C11" s="28">
        <v>142.0</v>
      </c>
      <c r="D11" s="28">
        <v>159.0</v>
      </c>
      <c r="E11" s="28">
        <v>165.0</v>
      </c>
      <c r="F11" s="28">
        <v>95.0</v>
      </c>
      <c r="G11" s="28">
        <v>138.0</v>
      </c>
      <c r="H11" s="28">
        <v>144.0</v>
      </c>
      <c r="I11" s="28">
        <v>24.0</v>
      </c>
      <c r="J11" s="28">
        <v>33.0</v>
      </c>
      <c r="K11" s="28">
        <v>36.0</v>
      </c>
      <c r="L11" s="28">
        <v>253.0</v>
      </c>
      <c r="M11" s="28">
        <v>37.0</v>
      </c>
    </row>
    <row r="12">
      <c r="A12" s="33" t="s">
        <v>68</v>
      </c>
      <c r="C12" s="28">
        <v>44.0</v>
      </c>
      <c r="D12" s="28">
        <v>67.0</v>
      </c>
      <c r="E12" s="28">
        <v>44.0</v>
      </c>
      <c r="F12" s="28">
        <v>59.0</v>
      </c>
      <c r="G12" s="28">
        <v>51.0</v>
      </c>
      <c r="H12" s="28">
        <v>46.0</v>
      </c>
      <c r="I12" s="28">
        <v>54.0</v>
      </c>
      <c r="J12" s="28">
        <v>68.0</v>
      </c>
      <c r="K12" s="28">
        <v>70.0</v>
      </c>
      <c r="L12" s="28">
        <v>72.0</v>
      </c>
      <c r="M12" s="28">
        <v>67.0</v>
      </c>
    </row>
    <row r="13"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>
      <c r="A14" s="74" t="s">
        <v>232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>
      <c r="A15" s="77" t="s">
        <v>70</v>
      </c>
      <c r="B15" s="78"/>
      <c r="C15" s="79">
        <f t="shared" ref="C15:M15" si="1">C21/C27</f>
        <v>0.0001339393939</v>
      </c>
      <c r="D15" s="79">
        <f t="shared" si="1"/>
        <v>0.0008605263158</v>
      </c>
      <c r="E15" s="79">
        <f t="shared" si="1"/>
        <v>0.0007706185567</v>
      </c>
      <c r="F15" s="79">
        <f t="shared" si="1"/>
        <v>0.0001256017505</v>
      </c>
      <c r="G15" s="79">
        <f t="shared" si="1"/>
        <v>0.00006650124069</v>
      </c>
      <c r="H15" s="79">
        <f t="shared" si="1"/>
        <v>0.000112654321</v>
      </c>
      <c r="I15" s="79" t="str">
        <f t="shared" si="1"/>
        <v>#DIV/0!</v>
      </c>
      <c r="J15" s="79">
        <f t="shared" si="1"/>
        <v>0.0001032727273</v>
      </c>
      <c r="K15" s="80">
        <f t="shared" si="1"/>
        <v>0.00009226519337</v>
      </c>
      <c r="L15" s="81" t="str">
        <f t="shared" si="1"/>
        <v>#VALUE!</v>
      </c>
      <c r="M15" s="79">
        <f t="shared" si="1"/>
        <v>0.02320574163</v>
      </c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</row>
    <row r="16">
      <c r="A16" s="33" t="s">
        <v>64</v>
      </c>
      <c r="C16" s="30">
        <f t="shared" ref="C16:K16" si="2">C22/C28</f>
        <v>0.06860465116</v>
      </c>
      <c r="D16" s="30">
        <f t="shared" si="2"/>
        <v>0.1405821918</v>
      </c>
      <c r="E16" s="30">
        <f t="shared" si="2"/>
        <v>0.0578125</v>
      </c>
      <c r="F16" s="30">
        <f t="shared" si="2"/>
        <v>0.06094420601</v>
      </c>
      <c r="G16" s="30">
        <f t="shared" si="2"/>
        <v>0.03015151515</v>
      </c>
      <c r="H16" s="30">
        <f t="shared" si="2"/>
        <v>0.1113043478</v>
      </c>
      <c r="I16" s="30">
        <f t="shared" si="2"/>
        <v>0.1905972046</v>
      </c>
      <c r="J16" s="30">
        <f t="shared" si="2"/>
        <v>0.070703125</v>
      </c>
      <c r="K16" s="30">
        <f t="shared" si="2"/>
        <v>0.07044025157</v>
      </c>
      <c r="L16" s="34">
        <v>0.112</v>
      </c>
      <c r="M16" s="34">
        <v>0.1404</v>
      </c>
    </row>
    <row r="17">
      <c r="A17" s="33" t="s">
        <v>66</v>
      </c>
      <c r="C17" s="34">
        <v>0.092</v>
      </c>
      <c r="D17" s="34">
        <v>0.1034</v>
      </c>
      <c r="E17" s="34">
        <v>0.0379</v>
      </c>
      <c r="F17" s="34">
        <v>0.0529</v>
      </c>
      <c r="G17" s="34">
        <v>0.0453</v>
      </c>
      <c r="H17" s="34">
        <v>0.0294</v>
      </c>
      <c r="I17" s="34">
        <v>0.079</v>
      </c>
      <c r="J17" s="34">
        <v>0.0633</v>
      </c>
      <c r="K17" s="34">
        <v>0.054</v>
      </c>
      <c r="L17" s="34">
        <v>0.1306</v>
      </c>
      <c r="M17" s="34">
        <v>0.1133</v>
      </c>
    </row>
    <row r="18">
      <c r="A18" s="33" t="s">
        <v>68</v>
      </c>
      <c r="C18" s="34">
        <v>0.0911</v>
      </c>
      <c r="D18" s="34">
        <v>0.0857</v>
      </c>
      <c r="E18" s="34">
        <v>0.0945</v>
      </c>
      <c r="F18" s="34">
        <v>0.0823</v>
      </c>
      <c r="G18" s="34">
        <v>0.1458</v>
      </c>
      <c r="H18" s="34">
        <v>0.0764</v>
      </c>
      <c r="I18" s="34">
        <v>0.0587</v>
      </c>
      <c r="J18" s="34">
        <v>0.066</v>
      </c>
      <c r="K18" s="34">
        <v>0.0716</v>
      </c>
      <c r="L18" s="34">
        <v>0.0703</v>
      </c>
      <c r="M18" s="34">
        <v>0.0663</v>
      </c>
    </row>
    <row r="19"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>
      <c r="A20" s="82" t="s">
        <v>58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>
      <c r="A21" s="33" t="s">
        <v>233</v>
      </c>
      <c r="C21" s="28">
        <v>442.0</v>
      </c>
      <c r="D21" s="28">
        <v>3270.0</v>
      </c>
      <c r="E21" s="28">
        <v>2990.0</v>
      </c>
      <c r="F21" s="28">
        <v>574.0</v>
      </c>
      <c r="G21" s="28">
        <v>268.0</v>
      </c>
      <c r="H21" s="28">
        <v>365.0</v>
      </c>
      <c r="I21" s="28">
        <v>236.0</v>
      </c>
      <c r="J21" s="28">
        <v>284.0</v>
      </c>
      <c r="K21" s="28">
        <v>167.0</v>
      </c>
      <c r="L21" s="75" t="s">
        <v>230</v>
      </c>
      <c r="M21" s="80">
        <f>69+28</f>
        <v>97</v>
      </c>
    </row>
    <row r="22">
      <c r="A22" s="33" t="s">
        <v>64</v>
      </c>
      <c r="C22" s="28">
        <v>118000.0</v>
      </c>
      <c r="D22" s="28">
        <v>821000.0</v>
      </c>
      <c r="E22" s="28">
        <v>111000.0</v>
      </c>
      <c r="F22" s="28">
        <v>142000.0</v>
      </c>
      <c r="G22" s="28">
        <v>39800.0</v>
      </c>
      <c r="H22" s="28">
        <v>384000.0</v>
      </c>
      <c r="I22" s="28">
        <v>1500000.0</v>
      </c>
      <c r="J22" s="28">
        <v>181000.0</v>
      </c>
      <c r="K22" s="28">
        <v>112000.0</v>
      </c>
      <c r="L22" s="75" t="s">
        <v>230</v>
      </c>
      <c r="M22" s="80">
        <f>168315+2444+28577</f>
        <v>199336</v>
      </c>
    </row>
    <row r="23">
      <c r="A23" s="33" t="s">
        <v>66</v>
      </c>
      <c r="C23" s="28">
        <v>99900.0</v>
      </c>
      <c r="D23" s="28">
        <v>232000.0</v>
      </c>
      <c r="E23" s="28">
        <v>148000.0</v>
      </c>
      <c r="F23" s="28">
        <v>225000.0</v>
      </c>
      <c r="G23" s="28">
        <v>223000.0</v>
      </c>
      <c r="H23" s="28">
        <v>150000.0</v>
      </c>
      <c r="I23" s="28">
        <v>211000.0</v>
      </c>
      <c r="J23" s="28">
        <v>372000.0</v>
      </c>
      <c r="K23" s="28">
        <v>371000.0</v>
      </c>
      <c r="L23" s="28">
        <v>500802.0</v>
      </c>
      <c r="M23" s="28">
        <v>560437.0</v>
      </c>
    </row>
    <row r="24">
      <c r="A24" s="33" t="s">
        <v>68</v>
      </c>
      <c r="C24" s="28">
        <v>18000.0</v>
      </c>
      <c r="D24" s="28">
        <v>61900.0</v>
      </c>
      <c r="E24" s="28">
        <v>57300.0</v>
      </c>
      <c r="F24" s="28">
        <v>77600.0</v>
      </c>
      <c r="G24" s="28">
        <v>107000.0</v>
      </c>
      <c r="H24" s="28">
        <v>67400.0</v>
      </c>
      <c r="I24" s="28">
        <v>203000.0</v>
      </c>
      <c r="J24" s="28">
        <v>241000.0</v>
      </c>
      <c r="K24" s="28">
        <v>310000.0</v>
      </c>
      <c r="L24" s="75" t="s">
        <v>230</v>
      </c>
      <c r="M24" s="28">
        <v>281946.0</v>
      </c>
    </row>
    <row r="25"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>
      <c r="A26" s="82" t="s">
        <v>57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>
      <c r="A27" s="33" t="s">
        <v>234</v>
      </c>
      <c r="C27" s="28">
        <v>3300000.0</v>
      </c>
      <c r="D27" s="28">
        <v>3800000.0</v>
      </c>
      <c r="E27" s="28">
        <v>3880000.0</v>
      </c>
      <c r="F27" s="28">
        <v>4570000.0</v>
      </c>
      <c r="G27" s="28">
        <v>4030000.0</v>
      </c>
      <c r="H27" s="28">
        <v>3240000.0</v>
      </c>
      <c r="I27" s="29"/>
      <c r="J27" s="28">
        <v>2750000.0</v>
      </c>
      <c r="K27" s="28">
        <v>1810000.0</v>
      </c>
      <c r="L27" s="75" t="s">
        <v>230</v>
      </c>
      <c r="M27" s="28">
        <v>4180.0</v>
      </c>
    </row>
    <row r="28">
      <c r="A28" s="33" t="s">
        <v>64</v>
      </c>
      <c r="C28" s="28">
        <v>1720000.0</v>
      </c>
      <c r="D28" s="28">
        <v>5840000.0</v>
      </c>
      <c r="E28" s="28">
        <v>1920000.0</v>
      </c>
      <c r="F28" s="28">
        <v>2330000.0</v>
      </c>
      <c r="G28" s="28">
        <v>1320000.0</v>
      </c>
      <c r="H28" s="28">
        <v>3450000.0</v>
      </c>
      <c r="I28" s="28">
        <v>7870000.0</v>
      </c>
      <c r="J28" s="28">
        <v>2560000.0</v>
      </c>
      <c r="K28" s="28">
        <v>1590000.0</v>
      </c>
      <c r="L28" s="28">
        <v>1882420.0</v>
      </c>
      <c r="M28" s="29"/>
    </row>
    <row r="29">
      <c r="A29" s="33" t="s">
        <v>66</v>
      </c>
      <c r="C29" s="75" t="s">
        <v>230</v>
      </c>
      <c r="D29" s="75" t="s">
        <v>230</v>
      </c>
      <c r="E29" s="75" t="s">
        <v>230</v>
      </c>
      <c r="F29" s="75" t="s">
        <v>230</v>
      </c>
      <c r="G29" s="75" t="s">
        <v>230</v>
      </c>
      <c r="H29" s="75" t="s">
        <v>230</v>
      </c>
      <c r="I29" s="75" t="s">
        <v>230</v>
      </c>
      <c r="J29" s="75" t="s">
        <v>230</v>
      </c>
      <c r="K29" s="28">
        <v>5940000.0</v>
      </c>
      <c r="L29" s="75" t="s">
        <v>230</v>
      </c>
      <c r="M29" s="75" t="s">
        <v>230</v>
      </c>
    </row>
    <row r="30">
      <c r="A30" s="33" t="s">
        <v>68</v>
      </c>
      <c r="C30" s="75" t="s">
        <v>230</v>
      </c>
      <c r="D30" s="75" t="s">
        <v>230</v>
      </c>
      <c r="E30" s="75" t="s">
        <v>230</v>
      </c>
      <c r="F30" s="75" t="s">
        <v>230</v>
      </c>
      <c r="G30" s="75" t="s">
        <v>230</v>
      </c>
      <c r="H30" s="75" t="s">
        <v>230</v>
      </c>
      <c r="I30" s="75" t="s">
        <v>230</v>
      </c>
      <c r="J30" s="75" t="s">
        <v>230</v>
      </c>
      <c r="K30" s="75" t="s">
        <v>230</v>
      </c>
      <c r="L30" s="28">
        <v>356521.0</v>
      </c>
      <c r="M30" s="75" t="s">
        <v>230</v>
      </c>
    </row>
    <row r="31">
      <c r="C31" s="29"/>
      <c r="D31" s="29"/>
      <c r="E31" s="29"/>
      <c r="F31" s="29"/>
      <c r="G31" s="29"/>
      <c r="H31" s="29"/>
      <c r="I31" s="29"/>
      <c r="J31" s="29"/>
      <c r="K31" s="28"/>
      <c r="M31" s="29"/>
    </row>
  </sheetData>
  <drawing r:id="rId1"/>
</worksheet>
</file>